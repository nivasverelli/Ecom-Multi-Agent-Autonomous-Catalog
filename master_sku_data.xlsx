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KU Data" sheetId="1" state="visible" r:id="rId3"/>
    <sheet name="Brand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<sst xmlns="http://schemas.openxmlformats.org/spreadsheetml/2006/main" count="647" uniqueCount="338">
  <si>
    <t xml:space="preserve">SKU</t>
  </si>
  <si>
    <t xml:space="preserve">ASIN</t>
  </si>
  <si>
    <t xml:space="preserve">Brand</t>
  </si>
  <si>
    <t xml:space="preserve">Product Name</t>
  </si>
  <si>
    <t xml:space="preserve">Category</t>
  </si>
  <si>
    <t xml:space="preserve">Unit_COGS</t>
  </si>
  <si>
    <t xml:space="preserve">FBA_Fee</t>
  </si>
  <si>
    <t xml:space="preserve">Amazon_Referral_Fee_%</t>
  </si>
  <si>
    <t xml:space="preserve">Current_Price</t>
  </si>
  <si>
    <t xml:space="preserve">Buy_Box_Price</t>
  </si>
  <si>
    <t xml:space="preserve">Lowest_Competitor_Price</t>
  </si>
  <si>
    <t xml:space="preserve">Is_Buy_Box_Winner</t>
  </si>
  <si>
    <t xml:space="preserve">Competitor_Count</t>
  </si>
  <si>
    <t xml:space="preserve">Sales_Rank</t>
  </si>
  <si>
    <t xml:space="preserve">Available_Inventory</t>
  </si>
  <si>
    <t xml:space="preserve">Inbound_Inventory</t>
  </si>
  <si>
    <t xml:space="preserve">Historical_Velocity_7D</t>
  </si>
  <si>
    <t xml:space="preserve">Days_of_Supply</t>
  </si>
  <si>
    <t xml:space="preserve">Storage_Type</t>
  </si>
  <si>
    <t xml:space="preserve">Ad_Impressions_7D</t>
  </si>
  <si>
    <t xml:space="preserve">Ad_Clicks_7D</t>
  </si>
  <si>
    <t xml:space="preserve">Ad_Spend_7D</t>
  </si>
  <si>
    <t xml:space="preserve">Ad_Orders_7D</t>
  </si>
  <si>
    <t xml:space="preserve">Ad_Sales_7D</t>
  </si>
  <si>
    <t xml:space="preserve">CPC</t>
  </si>
  <si>
    <t xml:space="preserve">CTR</t>
  </si>
  <si>
    <t xml:space="preserve">ACOS</t>
  </si>
  <si>
    <t xml:space="preserve">ROAS</t>
  </si>
  <si>
    <t xml:space="preserve">SKU-1000</t>
  </si>
  <si>
    <t xml:space="preserve">B0100000</t>
  </si>
  <si>
    <t xml:space="preserve">Aerovo</t>
  </si>
  <si>
    <t xml:space="preserve">Aerovo Sleeping Bag</t>
  </si>
  <si>
    <t xml:space="preserve">Outdoor</t>
  </si>
  <si>
    <t xml:space="preserve">Standard</t>
  </si>
  <si>
    <t xml:space="preserve">SKU-1001</t>
  </si>
  <si>
    <t xml:space="preserve">B0100137</t>
  </si>
  <si>
    <t xml:space="preserve">Aerovo Trekking Poles</t>
  </si>
  <si>
    <t xml:space="preserve">SKU-1002</t>
  </si>
  <si>
    <t xml:space="preserve">B0100274</t>
  </si>
  <si>
    <t xml:space="preserve">Aerovo Folding Chair</t>
  </si>
  <si>
    <t xml:space="preserve">Oversize</t>
  </si>
  <si>
    <t xml:space="preserve">SKU-1003</t>
  </si>
  <si>
    <t xml:space="preserve">B0100411</t>
  </si>
  <si>
    <t xml:space="preserve">Aerovo Camping Tent</t>
  </si>
  <si>
    <t xml:space="preserve">SKU-1004</t>
  </si>
  <si>
    <t xml:space="preserve">B0100548</t>
  </si>
  <si>
    <t xml:space="preserve">Aerovo Cooler Bag</t>
  </si>
  <si>
    <t xml:space="preserve">SKU-1005</t>
  </si>
  <si>
    <t xml:space="preserve">B0100685</t>
  </si>
  <si>
    <t xml:space="preserve">Aerovo Headlamp</t>
  </si>
  <si>
    <t xml:space="preserve">SKU-1006</t>
  </si>
  <si>
    <t xml:space="preserve">B0100822</t>
  </si>
  <si>
    <t xml:space="preserve">Aerovo Utensil Organizer</t>
  </si>
  <si>
    <t xml:space="preserve">Kitchen</t>
  </si>
  <si>
    <t xml:space="preserve">SKU-1007</t>
  </si>
  <si>
    <t xml:space="preserve">B0100959</t>
  </si>
  <si>
    <t xml:space="preserve">Aerovo Spice Rack</t>
  </si>
  <si>
    <t xml:space="preserve">SKU-1008</t>
  </si>
  <si>
    <t xml:space="preserve">B0101096</t>
  </si>
  <si>
    <t xml:space="preserve">Aerovo Cutting Board</t>
  </si>
  <si>
    <t xml:space="preserve">SKU-1009</t>
  </si>
  <si>
    <t xml:space="preserve">B0101233</t>
  </si>
  <si>
    <t xml:space="preserve">Aerovo Knife Set</t>
  </si>
  <si>
    <t xml:space="preserve">SKU-1010</t>
  </si>
  <si>
    <t xml:space="preserve">B0101370</t>
  </si>
  <si>
    <t xml:space="preserve">Nimbus Home</t>
  </si>
  <si>
    <t xml:space="preserve">Nimbus Home Earbud Case</t>
  </si>
  <si>
    <t xml:space="preserve">Electronics Accessories</t>
  </si>
  <si>
    <t xml:space="preserve">SKU-1011</t>
  </si>
  <si>
    <t xml:space="preserve">B0101507</t>
  </si>
  <si>
    <t xml:space="preserve">Nimbus Home Power Bank</t>
  </si>
  <si>
    <t xml:space="preserve">SKU-1012</t>
  </si>
  <si>
    <t xml:space="preserve">B0101644</t>
  </si>
  <si>
    <t xml:space="preserve">Nimbus Home Monitor Light Bar</t>
  </si>
  <si>
    <t xml:space="preserve">SKU-1013</t>
  </si>
  <si>
    <t xml:space="preserve">B0101781</t>
  </si>
  <si>
    <t xml:space="preserve">SKU-1014</t>
  </si>
  <si>
    <t xml:space="preserve">B0101918</t>
  </si>
  <si>
    <t xml:space="preserve">Nimbus Home Wireless Charger Pad</t>
  </si>
  <si>
    <t xml:space="preserve">SKU-1015</t>
  </si>
  <si>
    <t xml:space="preserve">B0102055</t>
  </si>
  <si>
    <t xml:space="preserve">SKU-1016</t>
  </si>
  <si>
    <t xml:space="preserve">B0102192</t>
  </si>
  <si>
    <t xml:space="preserve">Nimbus Home Ab Roller Wheel</t>
  </si>
  <si>
    <t xml:space="preserve">Fitness</t>
  </si>
  <si>
    <t xml:space="preserve">SKU-1017</t>
  </si>
  <si>
    <t xml:space="preserve">B0102329</t>
  </si>
  <si>
    <t xml:space="preserve">Nimbus Home Resistance Bands Set</t>
  </si>
  <si>
    <t xml:space="preserve">SKU-1018</t>
  </si>
  <si>
    <t xml:space="preserve">B0102466</t>
  </si>
  <si>
    <t xml:space="preserve">SKU-1019</t>
  </si>
  <si>
    <t xml:space="preserve">B0102603</t>
  </si>
  <si>
    <t xml:space="preserve">Nimbus Home Yoga Mat</t>
  </si>
  <si>
    <t xml:space="preserve">SKU-1020</t>
  </si>
  <si>
    <t xml:space="preserve">B0102740</t>
  </si>
  <si>
    <t xml:space="preserve">TrailForge</t>
  </si>
  <si>
    <t xml:space="preserve">TrailForge Exercise Ball</t>
  </si>
  <si>
    <t xml:space="preserve">SKU-1021</t>
  </si>
  <si>
    <t xml:space="preserve">B0102877</t>
  </si>
  <si>
    <t xml:space="preserve">TrailForge Adjustable Dumbbells</t>
  </si>
  <si>
    <t xml:space="preserve">SKU-1022</t>
  </si>
  <si>
    <t xml:space="preserve">B0103014</t>
  </si>
  <si>
    <t xml:space="preserve">SKU-1023</t>
  </si>
  <si>
    <t xml:space="preserve">B0103151</t>
  </si>
  <si>
    <t xml:space="preserve">TrailForge Massage Gun</t>
  </si>
  <si>
    <t xml:space="preserve">SKU-1024</t>
  </si>
  <si>
    <t xml:space="preserve">B0103288</t>
  </si>
  <si>
    <t xml:space="preserve">TrailForge Jump Rope</t>
  </si>
  <si>
    <t xml:space="preserve">SKU-1025</t>
  </si>
  <si>
    <t xml:space="preserve">B0103425</t>
  </si>
  <si>
    <t xml:space="preserve">SKU-1026</t>
  </si>
  <si>
    <t xml:space="preserve">B0103562</t>
  </si>
  <si>
    <t xml:space="preserve">TrailForge Floating Shelf</t>
  </si>
  <si>
    <t xml:space="preserve">Home Decor</t>
  </si>
  <si>
    <t xml:space="preserve">SKU-1027</t>
  </si>
  <si>
    <t xml:space="preserve">B0103699</t>
  </si>
  <si>
    <t xml:space="preserve">TrailForge Decorative Vase</t>
  </si>
  <si>
    <t xml:space="preserve">SKU-1028</t>
  </si>
  <si>
    <t xml:space="preserve">B0103836</t>
  </si>
  <si>
    <t xml:space="preserve">TrailForge Table Runner</t>
  </si>
  <si>
    <t xml:space="preserve">SKU-1029</t>
  </si>
  <si>
    <t xml:space="preserve">B0103973</t>
  </si>
  <si>
    <t xml:space="preserve">TrailForge Scented Candle Trio</t>
  </si>
  <si>
    <t xml:space="preserve">SKU-1030</t>
  </si>
  <si>
    <t xml:space="preserve">B0104110</t>
  </si>
  <si>
    <t xml:space="preserve">PureCove</t>
  </si>
  <si>
    <t xml:space="preserve">PureCove Sleeping Bag</t>
  </si>
  <si>
    <t xml:space="preserve">SKU-1031</t>
  </si>
  <si>
    <t xml:space="preserve">B0104247</t>
  </si>
  <si>
    <t xml:space="preserve">PureCove Headlamp</t>
  </si>
  <si>
    <t xml:space="preserve">SKU-1032</t>
  </si>
  <si>
    <t xml:space="preserve">B0104384</t>
  </si>
  <si>
    <t xml:space="preserve">PureCove Portable Stove</t>
  </si>
  <si>
    <t xml:space="preserve">SKU-1033</t>
  </si>
  <si>
    <t xml:space="preserve">B0104521</t>
  </si>
  <si>
    <t xml:space="preserve">SKU-1034</t>
  </si>
  <si>
    <t xml:space="preserve">B0104658</t>
  </si>
  <si>
    <t xml:space="preserve">PureCove Hammock</t>
  </si>
  <si>
    <t xml:space="preserve">SKU-1035</t>
  </si>
  <si>
    <t xml:space="preserve">B0104795</t>
  </si>
  <si>
    <t xml:space="preserve">SKU-1036</t>
  </si>
  <si>
    <t xml:space="preserve">B0104932</t>
  </si>
  <si>
    <t xml:space="preserve">PureCove Travel Pillow</t>
  </si>
  <si>
    <t xml:space="preserve">Travel</t>
  </si>
  <si>
    <t xml:space="preserve">SKU-1037</t>
  </si>
  <si>
    <t xml:space="preserve">B0105069</t>
  </si>
  <si>
    <t xml:space="preserve">SKU-1038</t>
  </si>
  <si>
    <t xml:space="preserve">B0105206</t>
  </si>
  <si>
    <t xml:space="preserve">PureCove Luggage Scale</t>
  </si>
  <si>
    <t xml:space="preserve">SKU-1039</t>
  </si>
  <si>
    <t xml:space="preserve">B0105343</t>
  </si>
  <si>
    <t xml:space="preserve">SKU-1040</t>
  </si>
  <si>
    <t xml:space="preserve">B0105480</t>
  </si>
  <si>
    <t xml:space="preserve">Brightway</t>
  </si>
  <si>
    <t xml:space="preserve">Brightway Headlamp</t>
  </si>
  <si>
    <t xml:space="preserve">SKU-1041</t>
  </si>
  <si>
    <t xml:space="preserve">B0105617</t>
  </si>
  <si>
    <t xml:space="preserve">Brightway Folding Chair</t>
  </si>
  <si>
    <t xml:space="preserve">SKU-1042</t>
  </si>
  <si>
    <t xml:space="preserve">B0105754</t>
  </si>
  <si>
    <t xml:space="preserve">Brightway Insulated Water Bottle</t>
  </si>
  <si>
    <t xml:space="preserve">SKU-1043</t>
  </si>
  <si>
    <t xml:space="preserve">B0105891</t>
  </si>
  <si>
    <t xml:space="preserve">Brightway Trekking Poles</t>
  </si>
  <si>
    <t xml:space="preserve">SKU-1044</t>
  </si>
  <si>
    <t xml:space="preserve">B0106028</t>
  </si>
  <si>
    <t xml:space="preserve">Brightway Hiking Backpack</t>
  </si>
  <si>
    <t xml:space="preserve">SKU-1045</t>
  </si>
  <si>
    <t xml:space="preserve">B0106165</t>
  </si>
  <si>
    <t xml:space="preserve">SKU-1046</t>
  </si>
  <si>
    <t xml:space="preserve">B0106302</t>
  </si>
  <si>
    <t xml:space="preserve">Brightway Dog Leash</t>
  </si>
  <si>
    <t xml:space="preserve">Pet Supplies</t>
  </si>
  <si>
    <t xml:space="preserve">SKU-1047</t>
  </si>
  <si>
    <t xml:space="preserve">B0106439</t>
  </si>
  <si>
    <t xml:space="preserve">Brightway Dog Chew Toy Set</t>
  </si>
  <si>
    <t xml:space="preserve">SKU-1048</t>
  </si>
  <si>
    <t xml:space="preserve">B0106576</t>
  </si>
  <si>
    <t xml:space="preserve">Brightway Pet Carrier</t>
  </si>
  <si>
    <t xml:space="preserve">SKU-1049</t>
  </si>
  <si>
    <t xml:space="preserve">B0106713</t>
  </si>
  <si>
    <t xml:space="preserve">Brightway Pet Feeding Mat</t>
  </si>
  <si>
    <t xml:space="preserve">SKU-1050</t>
  </si>
  <si>
    <t xml:space="preserve">B0106850</t>
  </si>
  <si>
    <t xml:space="preserve">UrbanCraft</t>
  </si>
  <si>
    <t xml:space="preserve">UrbanCraft Utensil Organizer</t>
  </si>
  <si>
    <t xml:space="preserve">SKU-1051</t>
  </si>
  <si>
    <t xml:space="preserve">B0106987</t>
  </si>
  <si>
    <t xml:space="preserve">UrbanCraft Coffee Grinder</t>
  </si>
  <si>
    <t xml:space="preserve">SKU-1052</t>
  </si>
  <si>
    <t xml:space="preserve">B0107124</t>
  </si>
  <si>
    <t xml:space="preserve">SKU-1053</t>
  </si>
  <si>
    <t xml:space="preserve">B0107261</t>
  </si>
  <si>
    <t xml:space="preserve">UrbanCraft Spice Rack</t>
  </si>
  <si>
    <t xml:space="preserve">SKU-1054</t>
  </si>
  <si>
    <t xml:space="preserve">B0107398</t>
  </si>
  <si>
    <t xml:space="preserve">UrbanCraft Food Storage Set</t>
  </si>
  <si>
    <t xml:space="preserve">SKU-1055</t>
  </si>
  <si>
    <t xml:space="preserve">B0107535</t>
  </si>
  <si>
    <t xml:space="preserve">UrbanCraft Knife Set</t>
  </si>
  <si>
    <t xml:space="preserve">SKU-1056</t>
  </si>
  <si>
    <t xml:space="preserve">B0107672</t>
  </si>
  <si>
    <t xml:space="preserve">UrbanCraft LED Strip Lights</t>
  </si>
  <si>
    <t xml:space="preserve">Lighting</t>
  </si>
  <si>
    <t xml:space="preserve">SKU-1057</t>
  </si>
  <si>
    <t xml:space="preserve">B0107809</t>
  </si>
  <si>
    <t xml:space="preserve">UrbanCraft Reading Light Clip</t>
  </si>
  <si>
    <t xml:space="preserve">SKU-1058</t>
  </si>
  <si>
    <t xml:space="preserve">B0107946</t>
  </si>
  <si>
    <t xml:space="preserve">UrbanCraft String Lights</t>
  </si>
  <si>
    <t xml:space="preserve">SKU-1059</t>
  </si>
  <si>
    <t xml:space="preserve">B0108083</t>
  </si>
  <si>
    <t xml:space="preserve">UrbanCraft Table Lamp</t>
  </si>
  <si>
    <t xml:space="preserve">SKU-1060</t>
  </si>
  <si>
    <t xml:space="preserve">B0108220</t>
  </si>
  <si>
    <t xml:space="preserve">VitalPeak</t>
  </si>
  <si>
    <t xml:space="preserve">VitalPeak Portable Stove</t>
  </si>
  <si>
    <t xml:space="preserve">SKU-1061</t>
  </si>
  <si>
    <t xml:space="preserve">B0108357</t>
  </si>
  <si>
    <t xml:space="preserve">VitalPeak Folding Chair</t>
  </si>
  <si>
    <t xml:space="preserve">SKU-1062</t>
  </si>
  <si>
    <t xml:space="preserve">B0108494</t>
  </si>
  <si>
    <t xml:space="preserve">VitalPeak Hiking Backpack</t>
  </si>
  <si>
    <t xml:space="preserve">SKU-1063</t>
  </si>
  <si>
    <t xml:space="preserve">B0108631</t>
  </si>
  <si>
    <t xml:space="preserve">VitalPeak Insulated Water Bottle</t>
  </si>
  <si>
    <t xml:space="preserve">SKU-1064</t>
  </si>
  <si>
    <t xml:space="preserve">B0108768</t>
  </si>
  <si>
    <t xml:space="preserve">SKU-1065</t>
  </si>
  <si>
    <t xml:space="preserve">B0108905</t>
  </si>
  <si>
    <t xml:space="preserve">VitalPeak Headlamp</t>
  </si>
  <si>
    <t xml:space="preserve">SKU-1066</t>
  </si>
  <si>
    <t xml:space="preserve">B0109042</t>
  </si>
  <si>
    <t xml:space="preserve">VitalPeak Massage Gun</t>
  </si>
  <si>
    <t xml:space="preserve">SKU-1067</t>
  </si>
  <si>
    <t xml:space="preserve">B0109179</t>
  </si>
  <si>
    <t xml:space="preserve">VitalPeak Resistance Bands Set</t>
  </si>
  <si>
    <t xml:space="preserve">SKU-1068</t>
  </si>
  <si>
    <t xml:space="preserve">B0109316</t>
  </si>
  <si>
    <t xml:space="preserve">VitalPeak Pull-Up Bar</t>
  </si>
  <si>
    <t xml:space="preserve">SKU-1069</t>
  </si>
  <si>
    <t xml:space="preserve">B0109453</t>
  </si>
  <si>
    <t xml:space="preserve">VitalPeak Adjustable Dumbbells</t>
  </si>
  <si>
    <t xml:space="preserve">SKU-1070</t>
  </si>
  <si>
    <t xml:space="preserve">B0109590</t>
  </si>
  <si>
    <t xml:space="preserve">Cozynest</t>
  </si>
  <si>
    <t xml:space="preserve">Cozynest Adjustable Dumbbells</t>
  </si>
  <si>
    <t xml:space="preserve">SKU-1071</t>
  </si>
  <si>
    <t xml:space="preserve">B0109727</t>
  </si>
  <si>
    <t xml:space="preserve">Cozynest Massage Gun</t>
  </si>
  <si>
    <t xml:space="preserve">SKU-1072</t>
  </si>
  <si>
    <t xml:space="preserve">B0109864</t>
  </si>
  <si>
    <t xml:space="preserve">Cozynest Jump Rope</t>
  </si>
  <si>
    <t xml:space="preserve">SKU-1073</t>
  </si>
  <si>
    <t xml:space="preserve">B0110001</t>
  </si>
  <si>
    <t xml:space="preserve">SKU-1074</t>
  </si>
  <si>
    <t xml:space="preserve">B0110138</t>
  </si>
  <si>
    <t xml:space="preserve">Cozynest Yoga Mat</t>
  </si>
  <si>
    <t xml:space="preserve">SKU-1075</t>
  </si>
  <si>
    <t xml:space="preserve">B0110275</t>
  </si>
  <si>
    <t xml:space="preserve">Cozynest Exercise Ball</t>
  </si>
  <si>
    <t xml:space="preserve">SKU-1076</t>
  </si>
  <si>
    <t xml:space="preserve">B0110412</t>
  </si>
  <si>
    <t xml:space="preserve">Cozynest Travel Duffel Bag</t>
  </si>
  <si>
    <t xml:space="preserve">SKU-1077</t>
  </si>
  <si>
    <t xml:space="preserve">B0110549</t>
  </si>
  <si>
    <t xml:space="preserve">Cozynest Garment Bag</t>
  </si>
  <si>
    <t xml:space="preserve">SKU-1078</t>
  </si>
  <si>
    <t xml:space="preserve">B0110686</t>
  </si>
  <si>
    <t xml:space="preserve">Cozynest Travel Adapter</t>
  </si>
  <si>
    <t xml:space="preserve">SKU-1079</t>
  </si>
  <si>
    <t xml:space="preserve">B0110823</t>
  </si>
  <si>
    <t xml:space="preserve">Cozynest Luggage Tag Set</t>
  </si>
  <si>
    <t xml:space="preserve">SKU-1080</t>
  </si>
  <si>
    <t xml:space="preserve">B0110960</t>
  </si>
  <si>
    <t xml:space="preserve">Solstice Gear</t>
  </si>
  <si>
    <t xml:space="preserve">Solstice Gear String Lights</t>
  </si>
  <si>
    <t xml:space="preserve">SKU-1081</t>
  </si>
  <si>
    <t xml:space="preserve">B0111097</t>
  </si>
  <si>
    <t xml:space="preserve">Solstice Gear Floor Lamp</t>
  </si>
  <si>
    <t xml:space="preserve">SKU-1082</t>
  </si>
  <si>
    <t xml:space="preserve">B0111234</t>
  </si>
  <si>
    <t xml:space="preserve">Solstice Gear Reading Light Clip</t>
  </si>
  <si>
    <t xml:space="preserve">SKU-1083</t>
  </si>
  <si>
    <t xml:space="preserve">B0111371</t>
  </si>
  <si>
    <t xml:space="preserve">SKU-1084</t>
  </si>
  <si>
    <t xml:space="preserve">B0111508</t>
  </si>
  <si>
    <t xml:space="preserve">Solstice Gear Table Lamp</t>
  </si>
  <si>
    <t xml:space="preserve">SKU-1085</t>
  </si>
  <si>
    <t xml:space="preserve">B0111645</t>
  </si>
  <si>
    <t xml:space="preserve">SKU-1086</t>
  </si>
  <si>
    <t xml:space="preserve">B0111782</t>
  </si>
  <si>
    <t xml:space="preserve">Solstice Gear Salad Spinner</t>
  </si>
  <si>
    <t xml:space="preserve">SKU-1087</t>
  </si>
  <si>
    <t xml:space="preserve">B0111919</t>
  </si>
  <si>
    <t xml:space="preserve">Solstice Gear Utensil Organizer</t>
  </si>
  <si>
    <t xml:space="preserve">SKU-1088</t>
  </si>
  <si>
    <t xml:space="preserve">B0112056</t>
  </si>
  <si>
    <t xml:space="preserve">Solstice Gear Food Storage Set</t>
  </si>
  <si>
    <t xml:space="preserve">SKU-1089</t>
  </si>
  <si>
    <t xml:space="preserve">B0112193</t>
  </si>
  <si>
    <t xml:space="preserve">Solstice Gear Coffee Grinder</t>
  </si>
  <si>
    <t xml:space="preserve">SKU-1090</t>
  </si>
  <si>
    <t xml:space="preserve">B0112330</t>
  </si>
  <si>
    <t xml:space="preserve">EverGlow</t>
  </si>
  <si>
    <t xml:space="preserve">EverGlow Compression Bag Set</t>
  </si>
  <si>
    <t xml:space="preserve">SKU-1091</t>
  </si>
  <si>
    <t xml:space="preserve">B0112467</t>
  </si>
  <si>
    <t xml:space="preserve">EverGlow Travel Adapter</t>
  </si>
  <si>
    <t xml:space="preserve">SKU-1092</t>
  </si>
  <si>
    <t xml:space="preserve">B0112604</t>
  </si>
  <si>
    <t xml:space="preserve">SKU-1093</t>
  </si>
  <si>
    <t xml:space="preserve">B0112741</t>
  </si>
  <si>
    <t xml:space="preserve">EverGlow Luggage Scale</t>
  </si>
  <si>
    <t xml:space="preserve">SKU-1094</t>
  </si>
  <si>
    <t xml:space="preserve">B0112878</t>
  </si>
  <si>
    <t xml:space="preserve">SKU-1095</t>
  </si>
  <si>
    <t xml:space="preserve">B0113015</t>
  </si>
  <si>
    <t xml:space="preserve">EverGlow Passport Holder</t>
  </si>
  <si>
    <t xml:space="preserve">SKU-1096</t>
  </si>
  <si>
    <t xml:space="preserve">B0113152</t>
  </si>
  <si>
    <t xml:space="preserve">EverGlow Exercise Ball</t>
  </si>
  <si>
    <t xml:space="preserve">SKU-1097</t>
  </si>
  <si>
    <t xml:space="preserve">B0113289</t>
  </si>
  <si>
    <t xml:space="preserve">EverGlow Foam Roller</t>
  </si>
  <si>
    <t xml:space="preserve">SKU-1098</t>
  </si>
  <si>
    <t xml:space="preserve">B0113426</t>
  </si>
  <si>
    <t xml:space="preserve">SKU-1099</t>
  </si>
  <si>
    <t xml:space="preserve">B0113563</t>
  </si>
  <si>
    <t xml:space="preserve">EverGlow Jump Rope</t>
  </si>
  <si>
    <t xml:space="preserve">Products</t>
  </si>
  <si>
    <t xml:space="preserve">Total Ad Spend ($)</t>
  </si>
  <si>
    <t xml:space="preserve">Total Ad Sales ($)</t>
  </si>
  <si>
    <t xml:space="preserve">Blended ACOS</t>
  </si>
  <si>
    <t xml:space="preserve">Avg Days of Supply</t>
  </si>
  <si>
    <t xml:space="preserve">Buy Box Win Rate</t>
  </si>
  <si>
    <t xml:space="preserve">Avg Current Price ($)</t>
  </si>
  <si>
    <t xml:space="preserve">TOTAL / BLENDED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</si>
</sst>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%"/>
    <numFmt numFmtId="167" formatCode="General"/>
    <numFmt numFmtId="168" formatCode="#,##0"/>
    <numFmt numFmtId="169" formatCode="0.0"/>
    <numFmt numFmtId="170" formatCode="0.0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B45309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B45309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8" min="25" style="0" width="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n">
        <v>13.1</v>
      </c>
      <c r="G2" s="6" t="n">
        <v>4.25</v>
      </c>
      <c r="H2" s="7" t="n">
        <v>0.08</v>
      </c>
      <c r="I2" s="6" t="n">
        <v>43.55</v>
      </c>
      <c r="J2" s="6" t="n">
        <v>42.4</v>
      </c>
      <c r="K2" s="6" t="n">
        <v>44.04</v>
      </c>
      <c r="L2" s="8" t="b">
        <f aca="false">FALSE()</f>
        <v>0</v>
      </c>
      <c r="M2" s="9" t="n">
        <v>12</v>
      </c>
      <c r="N2" s="9" t="n">
        <v>40908</v>
      </c>
      <c r="O2" s="9" t="n">
        <v>724</v>
      </c>
      <c r="P2" s="9" t="n">
        <v>1236</v>
      </c>
      <c r="Q2" s="9" t="n">
        <v>227</v>
      </c>
      <c r="R2" s="10" t="n">
        <f aca="false">IF(Q2=0,999,O2/(Q2/7))</f>
        <v>22.3259911894273</v>
      </c>
      <c r="S2" s="5" t="s">
        <v>33</v>
      </c>
      <c r="T2" s="9" t="n">
        <v>35171</v>
      </c>
      <c r="U2" s="9" t="n">
        <v>482</v>
      </c>
      <c r="V2" s="6" t="n">
        <v>694.08</v>
      </c>
      <c r="W2" s="9" t="n">
        <v>54</v>
      </c>
      <c r="X2" s="6" t="n">
        <v>2351.7</v>
      </c>
      <c r="Y2" s="6" t="n">
        <v>1.44</v>
      </c>
      <c r="Z2" s="7" t="n">
        <f aca="false">IF(T2=0,0,U2/T2)</f>
        <v>0.0137044724346763</v>
      </c>
      <c r="AA2" s="7" t="n">
        <f aca="false">IF(X2=0,0,V2/X2)</f>
        <v>0.295139686184462</v>
      </c>
      <c r="AB2" s="11" t="n">
        <f aca="false">IF(V2=0,0,X2/V2)</f>
        <v>3.38822614107884</v>
      </c>
    </row>
    <row r="3" customFormat="false" ht="15" hidden="false" customHeight="false" outlineLevel="0" collapsed="false">
      <c r="A3" s="12" t="s">
        <v>34</v>
      </c>
      <c r="B3" s="12" t="s">
        <v>35</v>
      </c>
      <c r="C3" s="12" t="s">
        <v>30</v>
      </c>
      <c r="D3" s="12" t="s">
        <v>36</v>
      </c>
      <c r="E3" s="12" t="s">
        <v>32</v>
      </c>
      <c r="F3" s="13" t="n">
        <v>4.44</v>
      </c>
      <c r="G3" s="13" t="n">
        <v>5.83</v>
      </c>
      <c r="H3" s="14" t="n">
        <v>0.12</v>
      </c>
      <c r="I3" s="13" t="n">
        <v>16.29</v>
      </c>
      <c r="J3" s="13" t="n">
        <v>16.29</v>
      </c>
      <c r="K3" s="13" t="n">
        <v>14.47</v>
      </c>
      <c r="L3" s="15" t="b">
        <f aca="false">TRUE()</f>
        <v>1</v>
      </c>
      <c r="M3" s="16" t="n">
        <v>9</v>
      </c>
      <c r="N3" s="16" t="n">
        <v>173496</v>
      </c>
      <c r="O3" s="16" t="n">
        <v>2434</v>
      </c>
      <c r="P3" s="16" t="n">
        <v>569</v>
      </c>
      <c r="Q3" s="16" t="n">
        <v>240</v>
      </c>
      <c r="R3" s="17" t="n">
        <f aca="false">IF(Q3=0,999,O3/(Q3/7))</f>
        <v>70.9916666666667</v>
      </c>
      <c r="S3" s="12" t="s">
        <v>33</v>
      </c>
      <c r="T3" s="16" t="n">
        <v>59929</v>
      </c>
      <c r="U3" s="16" t="n">
        <v>695</v>
      </c>
      <c r="V3" s="13" t="n">
        <v>625.5</v>
      </c>
      <c r="W3" s="16" t="n">
        <v>159</v>
      </c>
      <c r="X3" s="13" t="n">
        <v>2590.11</v>
      </c>
      <c r="Y3" s="13" t="n">
        <v>0.9</v>
      </c>
      <c r="Z3" s="14" t="n">
        <f aca="false">IF(T3=0,0,U3/T3)</f>
        <v>0.0115970565168783</v>
      </c>
      <c r="AA3" s="14" t="n">
        <f aca="false">IF(X3=0,0,V3/X3)</f>
        <v>0.241495534938671</v>
      </c>
      <c r="AB3" s="18" t="n">
        <f aca="false">IF(V3=0,0,X3/V3)</f>
        <v>4.14086330935252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30</v>
      </c>
      <c r="D4" s="5" t="s">
        <v>39</v>
      </c>
      <c r="E4" s="5" t="s">
        <v>32</v>
      </c>
      <c r="F4" s="6" t="n">
        <v>22.03</v>
      </c>
      <c r="G4" s="6" t="n">
        <v>11.97</v>
      </c>
      <c r="H4" s="7" t="n">
        <v>0.08</v>
      </c>
      <c r="I4" s="6" t="n">
        <v>63.6</v>
      </c>
      <c r="J4" s="6" t="n">
        <v>63.6</v>
      </c>
      <c r="K4" s="6" t="n">
        <v>62.14</v>
      </c>
      <c r="L4" s="8" t="b">
        <f aca="false">TRUE()</f>
        <v>1</v>
      </c>
      <c r="M4" s="9" t="n">
        <v>9</v>
      </c>
      <c r="N4" s="9" t="n">
        <v>64325</v>
      </c>
      <c r="O4" s="9" t="n">
        <v>279</v>
      </c>
      <c r="P4" s="9" t="n">
        <v>1402</v>
      </c>
      <c r="Q4" s="9" t="n">
        <v>174</v>
      </c>
      <c r="R4" s="10" t="n">
        <f aca="false">IF(Q4=0,999,O4/(Q4/7))</f>
        <v>11.2241379310345</v>
      </c>
      <c r="S4" s="5" t="s">
        <v>40</v>
      </c>
      <c r="T4" s="9" t="n">
        <v>43004</v>
      </c>
      <c r="U4" s="9" t="n">
        <v>606</v>
      </c>
      <c r="V4" s="6" t="n">
        <v>915.06</v>
      </c>
      <c r="W4" s="9" t="n">
        <v>74</v>
      </c>
      <c r="X4" s="6" t="n">
        <v>4706.4</v>
      </c>
      <c r="Y4" s="6" t="n">
        <v>1.51</v>
      </c>
      <c r="Z4" s="7" t="n">
        <f aca="false">IF(T4=0,0,U4/T4)</f>
        <v>0.0140917123988466</v>
      </c>
      <c r="AA4" s="7" t="n">
        <f aca="false">IF(X4=0,0,V4/X4)</f>
        <v>0.194428862825089</v>
      </c>
      <c r="AB4" s="11" t="n">
        <f aca="false">IF(V4=0,0,X4/V4)</f>
        <v>5.1432692938168</v>
      </c>
    </row>
    <row r="5" customFormat="false" ht="15" hidden="false" customHeight="false" outlineLevel="0" collapsed="false">
      <c r="A5" s="12" t="s">
        <v>41</v>
      </c>
      <c r="B5" s="12" t="s">
        <v>42</v>
      </c>
      <c r="C5" s="12" t="s">
        <v>30</v>
      </c>
      <c r="D5" s="12" t="s">
        <v>43</v>
      </c>
      <c r="E5" s="12" t="s">
        <v>32</v>
      </c>
      <c r="F5" s="13" t="n">
        <v>21.74</v>
      </c>
      <c r="G5" s="13" t="n">
        <v>7.03</v>
      </c>
      <c r="H5" s="14" t="n">
        <v>0.12</v>
      </c>
      <c r="I5" s="13" t="n">
        <v>74.39</v>
      </c>
      <c r="J5" s="13" t="n">
        <v>74.39</v>
      </c>
      <c r="K5" s="13" t="n">
        <v>72.98</v>
      </c>
      <c r="L5" s="15" t="b">
        <f aca="false">TRUE()</f>
        <v>1</v>
      </c>
      <c r="M5" s="16" t="n">
        <v>3</v>
      </c>
      <c r="N5" s="16" t="n">
        <v>168669</v>
      </c>
      <c r="O5" s="16" t="n">
        <v>4160</v>
      </c>
      <c r="P5" s="16" t="n">
        <v>1195</v>
      </c>
      <c r="Q5" s="16" t="n">
        <v>476</v>
      </c>
      <c r="R5" s="17" t="n">
        <f aca="false">IF(Q5=0,999,O5/(Q5/7))</f>
        <v>61.1764705882353</v>
      </c>
      <c r="S5" s="12" t="s">
        <v>40</v>
      </c>
      <c r="T5" s="16" t="n">
        <v>52850</v>
      </c>
      <c r="U5" s="16" t="n">
        <v>439</v>
      </c>
      <c r="V5" s="13" t="n">
        <v>812.15</v>
      </c>
      <c r="W5" s="16" t="n">
        <v>66</v>
      </c>
      <c r="X5" s="13" t="n">
        <v>4909.74</v>
      </c>
      <c r="Y5" s="13" t="n">
        <v>1.85</v>
      </c>
      <c r="Z5" s="14" t="n">
        <f aca="false">IF(T5=0,0,U5/T5)</f>
        <v>0.00830652790917692</v>
      </c>
      <c r="AA5" s="14" t="n">
        <f aca="false">IF(X5=0,0,V5/X5)</f>
        <v>0.165416091279783</v>
      </c>
      <c r="AB5" s="18" t="n">
        <f aca="false">IF(V5=0,0,X5/V5)</f>
        <v>6.04536107861848</v>
      </c>
    </row>
    <row r="6" customFormat="false" ht="15" hidden="false" customHeight="false" outlineLevel="0" collapsed="false">
      <c r="A6" s="5" t="s">
        <v>44</v>
      </c>
      <c r="B6" s="5" t="s">
        <v>45</v>
      </c>
      <c r="C6" s="5" t="s">
        <v>30</v>
      </c>
      <c r="D6" s="5" t="s">
        <v>46</v>
      </c>
      <c r="E6" s="5" t="s">
        <v>32</v>
      </c>
      <c r="F6" s="6" t="n">
        <v>3.94</v>
      </c>
      <c r="G6" s="6" t="n">
        <v>3.49</v>
      </c>
      <c r="H6" s="7" t="n">
        <v>0.1</v>
      </c>
      <c r="I6" s="6" t="n">
        <v>17.26</v>
      </c>
      <c r="J6" s="6" t="n">
        <v>17.26</v>
      </c>
      <c r="K6" s="6" t="n">
        <v>17.02</v>
      </c>
      <c r="L6" s="8" t="b">
        <f aca="false">TRUE()</f>
        <v>1</v>
      </c>
      <c r="M6" s="9" t="n">
        <v>12</v>
      </c>
      <c r="N6" s="9" t="n">
        <v>101014</v>
      </c>
      <c r="O6" s="9" t="n">
        <v>316</v>
      </c>
      <c r="P6" s="9" t="n">
        <v>1393</v>
      </c>
      <c r="Q6" s="9" t="n">
        <v>397</v>
      </c>
      <c r="R6" s="10" t="n">
        <f aca="false">IF(Q6=0,999,O6/(Q6/7))</f>
        <v>5.57178841309824</v>
      </c>
      <c r="S6" s="5" t="s">
        <v>33</v>
      </c>
      <c r="T6" s="9" t="n">
        <v>94966</v>
      </c>
      <c r="U6" s="9" t="n">
        <v>513</v>
      </c>
      <c r="V6" s="6" t="n">
        <v>861.84</v>
      </c>
      <c r="W6" s="9" t="n">
        <v>136</v>
      </c>
      <c r="X6" s="6" t="n">
        <v>2347.36</v>
      </c>
      <c r="Y6" s="6" t="n">
        <v>1.68</v>
      </c>
      <c r="Z6" s="7" t="n">
        <f aca="false">IF(T6=0,0,U6/T6)</f>
        <v>0.00540193332350525</v>
      </c>
      <c r="AA6" s="7" t="n">
        <f aca="false">IF(X6=0,0,V6/X6)</f>
        <v>0.367152886647127</v>
      </c>
      <c r="AB6" s="11" t="n">
        <f aca="false">IF(V6=0,0,X6/V6)</f>
        <v>2.72366100436276</v>
      </c>
    </row>
    <row r="7" customFormat="false" ht="15" hidden="false" customHeight="false" outlineLevel="0" collapsed="false">
      <c r="A7" s="12" t="s">
        <v>47</v>
      </c>
      <c r="B7" s="12" t="s">
        <v>48</v>
      </c>
      <c r="C7" s="12" t="s">
        <v>30</v>
      </c>
      <c r="D7" s="12" t="s">
        <v>49</v>
      </c>
      <c r="E7" s="12" t="s">
        <v>32</v>
      </c>
      <c r="F7" s="13" t="n">
        <v>5.64</v>
      </c>
      <c r="G7" s="13" t="n">
        <v>5.04</v>
      </c>
      <c r="H7" s="14" t="n">
        <v>0.12</v>
      </c>
      <c r="I7" s="13" t="n">
        <v>18.91</v>
      </c>
      <c r="J7" s="13" t="n">
        <v>18.91</v>
      </c>
      <c r="K7" s="13" t="n">
        <v>18.96</v>
      </c>
      <c r="L7" s="15" t="b">
        <f aca="false">TRUE()</f>
        <v>1</v>
      </c>
      <c r="M7" s="16" t="n">
        <v>8</v>
      </c>
      <c r="N7" s="16" t="n">
        <v>28044</v>
      </c>
      <c r="O7" s="16" t="n">
        <v>628</v>
      </c>
      <c r="P7" s="16" t="n">
        <v>1104</v>
      </c>
      <c r="Q7" s="16" t="n">
        <v>312</v>
      </c>
      <c r="R7" s="17" t="n">
        <f aca="false">IF(Q7=0,999,O7/(Q7/7))</f>
        <v>14.0897435897436</v>
      </c>
      <c r="S7" s="12" t="s">
        <v>33</v>
      </c>
      <c r="T7" s="16" t="n">
        <v>102556</v>
      </c>
      <c r="U7" s="16" t="n">
        <v>1549</v>
      </c>
      <c r="V7" s="13" t="n">
        <v>2679.77</v>
      </c>
      <c r="W7" s="16" t="n">
        <v>446</v>
      </c>
      <c r="X7" s="13" t="n">
        <v>8433.86</v>
      </c>
      <c r="Y7" s="13" t="n">
        <v>1.73</v>
      </c>
      <c r="Z7" s="14" t="n">
        <f aca="false">IF(T7=0,0,U7/T7)</f>
        <v>0.0151039432115137</v>
      </c>
      <c r="AA7" s="14" t="n">
        <f aca="false">IF(X7=0,0,V7/X7)</f>
        <v>0.317739445520794</v>
      </c>
      <c r="AB7" s="18" t="n">
        <f aca="false">IF(V7=0,0,X7/V7)</f>
        <v>3.14723278490318</v>
      </c>
    </row>
    <row r="8" customFormat="false" ht="15" hidden="false" customHeight="false" outlineLevel="0" collapsed="false">
      <c r="A8" s="5" t="s">
        <v>50</v>
      </c>
      <c r="B8" s="5" t="s">
        <v>51</v>
      </c>
      <c r="C8" s="5" t="s">
        <v>30</v>
      </c>
      <c r="D8" s="5" t="s">
        <v>52</v>
      </c>
      <c r="E8" s="5" t="s">
        <v>53</v>
      </c>
      <c r="F8" s="6" t="n">
        <v>4.47</v>
      </c>
      <c r="G8" s="6" t="n">
        <v>6.95</v>
      </c>
      <c r="H8" s="7" t="n">
        <v>0.12</v>
      </c>
      <c r="I8" s="6" t="n">
        <v>11.55</v>
      </c>
      <c r="J8" s="6" t="n">
        <v>9.93</v>
      </c>
      <c r="K8" s="6" t="n">
        <v>9.95</v>
      </c>
      <c r="L8" s="8" t="b">
        <f aca="false">FALSE()</f>
        <v>0</v>
      </c>
      <c r="M8" s="9" t="n">
        <v>3</v>
      </c>
      <c r="N8" s="9" t="n">
        <v>22603</v>
      </c>
      <c r="O8" s="9" t="n">
        <v>3512</v>
      </c>
      <c r="P8" s="9" t="n">
        <v>1125</v>
      </c>
      <c r="Q8" s="9" t="n">
        <v>504</v>
      </c>
      <c r="R8" s="10" t="n">
        <f aca="false">IF(Q8=0,999,O8/(Q8/7))</f>
        <v>48.7777777777778</v>
      </c>
      <c r="S8" s="5" t="s">
        <v>33</v>
      </c>
      <c r="T8" s="9" t="n">
        <v>22143</v>
      </c>
      <c r="U8" s="9" t="n">
        <v>159</v>
      </c>
      <c r="V8" s="6" t="n">
        <v>263.94</v>
      </c>
      <c r="W8" s="9" t="n">
        <v>88</v>
      </c>
      <c r="X8" s="6" t="n">
        <v>1016.4</v>
      </c>
      <c r="Y8" s="6" t="n">
        <v>1.66</v>
      </c>
      <c r="Z8" s="7" t="n">
        <f aca="false">IF(T8=0,0,U8/T8)</f>
        <v>0.00718059883484623</v>
      </c>
      <c r="AA8" s="7" t="n">
        <f aca="false">IF(X8=0,0,V8/X8)</f>
        <v>0.259681227863046</v>
      </c>
      <c r="AB8" s="11" t="n">
        <f aca="false">IF(V8=0,0,X8/V8)</f>
        <v>3.85087519890884</v>
      </c>
    </row>
    <row r="9" customFormat="false" ht="15" hidden="false" customHeight="false" outlineLevel="0" collapsed="false">
      <c r="A9" s="12" t="s">
        <v>54</v>
      </c>
      <c r="B9" s="12" t="s">
        <v>55</v>
      </c>
      <c r="C9" s="12" t="s">
        <v>30</v>
      </c>
      <c r="D9" s="12" t="s">
        <v>56</v>
      </c>
      <c r="E9" s="12" t="s">
        <v>53</v>
      </c>
      <c r="F9" s="13" t="n">
        <v>30.01</v>
      </c>
      <c r="G9" s="13" t="n">
        <v>6.1</v>
      </c>
      <c r="H9" s="14" t="n">
        <v>0.12</v>
      </c>
      <c r="I9" s="13" t="n">
        <v>84.3</v>
      </c>
      <c r="J9" s="13" t="n">
        <v>82.41</v>
      </c>
      <c r="K9" s="13" t="n">
        <v>88.43</v>
      </c>
      <c r="L9" s="15" t="b">
        <f aca="false">FALSE()</f>
        <v>0</v>
      </c>
      <c r="M9" s="16" t="n">
        <v>6</v>
      </c>
      <c r="N9" s="16" t="n">
        <v>135829</v>
      </c>
      <c r="O9" s="16" t="n">
        <v>717</v>
      </c>
      <c r="P9" s="16" t="n">
        <v>1205</v>
      </c>
      <c r="Q9" s="16" t="n">
        <v>469</v>
      </c>
      <c r="R9" s="17" t="n">
        <f aca="false">IF(Q9=0,999,O9/(Q9/7))</f>
        <v>10.7014925373134</v>
      </c>
      <c r="S9" s="12" t="s">
        <v>33</v>
      </c>
      <c r="T9" s="16" t="n">
        <v>29364</v>
      </c>
      <c r="U9" s="16" t="n">
        <v>120</v>
      </c>
      <c r="V9" s="13" t="n">
        <v>169.2</v>
      </c>
      <c r="W9" s="16" t="n">
        <v>14</v>
      </c>
      <c r="X9" s="13" t="n">
        <v>1180.2</v>
      </c>
      <c r="Y9" s="13" t="n">
        <v>1.41</v>
      </c>
      <c r="Z9" s="14" t="n">
        <f aca="false">IF(T9=0,0,U9/T9)</f>
        <v>0.00408663669799755</v>
      </c>
      <c r="AA9" s="14" t="n">
        <f aca="false">IF(X9=0,0,V9/X9)</f>
        <v>0.143365531265887</v>
      </c>
      <c r="AB9" s="18" t="n">
        <f aca="false">IF(V9=0,0,X9/V9)</f>
        <v>6.97517730496454</v>
      </c>
    </row>
    <row r="10" customFormat="false" ht="15" hidden="false" customHeight="false" outlineLevel="0" collapsed="false">
      <c r="A10" s="5" t="s">
        <v>57</v>
      </c>
      <c r="B10" s="5" t="s">
        <v>58</v>
      </c>
      <c r="C10" s="5" t="s">
        <v>30</v>
      </c>
      <c r="D10" s="5" t="s">
        <v>59</v>
      </c>
      <c r="E10" s="5" t="s">
        <v>53</v>
      </c>
      <c r="F10" s="6" t="n">
        <v>30.89</v>
      </c>
      <c r="G10" s="6" t="n">
        <v>3.32</v>
      </c>
      <c r="H10" s="7" t="n">
        <v>0.1</v>
      </c>
      <c r="I10" s="6" t="n">
        <v>82.42</v>
      </c>
      <c r="J10" s="6" t="n">
        <v>82.42</v>
      </c>
      <c r="K10" s="6" t="n">
        <v>81.08</v>
      </c>
      <c r="L10" s="8" t="b">
        <f aca="false">TRUE()</f>
        <v>1</v>
      </c>
      <c r="M10" s="9" t="n">
        <v>4</v>
      </c>
      <c r="N10" s="9" t="n">
        <v>34834</v>
      </c>
      <c r="O10" s="9" t="n">
        <v>461</v>
      </c>
      <c r="P10" s="9" t="n">
        <v>198</v>
      </c>
      <c r="Q10" s="9" t="n">
        <v>591</v>
      </c>
      <c r="R10" s="10" t="n">
        <f aca="false">IF(Q10=0,999,O10/(Q10/7))</f>
        <v>5.46023688663283</v>
      </c>
      <c r="S10" s="5" t="s">
        <v>33</v>
      </c>
      <c r="T10" s="9" t="n">
        <v>86874</v>
      </c>
      <c r="U10" s="9" t="n">
        <v>799</v>
      </c>
      <c r="V10" s="6" t="n">
        <v>791.01</v>
      </c>
      <c r="W10" s="9" t="n">
        <v>35</v>
      </c>
      <c r="X10" s="6" t="n">
        <v>2884.7</v>
      </c>
      <c r="Y10" s="6" t="n">
        <v>0.99</v>
      </c>
      <c r="Z10" s="7" t="n">
        <f aca="false">IF(T10=0,0,U10/T10)</f>
        <v>0.00919722816953289</v>
      </c>
      <c r="AA10" s="7" t="n">
        <f aca="false">IF(X10=0,0,V10/X10)</f>
        <v>0.274208756543141</v>
      </c>
      <c r="AB10" s="11" t="n">
        <f aca="false">IF(V10=0,0,X10/V10)</f>
        <v>3.64685655048609</v>
      </c>
    </row>
    <row r="11" customFormat="false" ht="15" hidden="false" customHeight="false" outlineLevel="0" collapsed="false">
      <c r="A11" s="12" t="s">
        <v>60</v>
      </c>
      <c r="B11" s="12" t="s">
        <v>61</v>
      </c>
      <c r="C11" s="12" t="s">
        <v>30</v>
      </c>
      <c r="D11" s="12" t="s">
        <v>62</v>
      </c>
      <c r="E11" s="12" t="s">
        <v>53</v>
      </c>
      <c r="F11" s="13" t="n">
        <v>25.36</v>
      </c>
      <c r="G11" s="13" t="n">
        <v>3.44</v>
      </c>
      <c r="H11" s="14" t="n">
        <v>0.15</v>
      </c>
      <c r="I11" s="13" t="n">
        <v>63.86</v>
      </c>
      <c r="J11" s="13" t="n">
        <v>56.85</v>
      </c>
      <c r="K11" s="13" t="n">
        <v>58.61</v>
      </c>
      <c r="L11" s="15" t="b">
        <f aca="false">FALSE()</f>
        <v>0</v>
      </c>
      <c r="M11" s="16" t="n">
        <v>11</v>
      </c>
      <c r="N11" s="16" t="n">
        <v>50012</v>
      </c>
      <c r="O11" s="16" t="n">
        <v>373</v>
      </c>
      <c r="P11" s="16" t="n">
        <v>907</v>
      </c>
      <c r="Q11" s="16" t="n">
        <v>556</v>
      </c>
      <c r="R11" s="17" t="n">
        <f aca="false">IF(Q11=0,999,O11/(Q11/7))</f>
        <v>4.69604316546763</v>
      </c>
      <c r="S11" s="12" t="s">
        <v>33</v>
      </c>
      <c r="T11" s="16" t="n">
        <v>106409</v>
      </c>
      <c r="U11" s="16" t="n">
        <v>1522</v>
      </c>
      <c r="V11" s="13" t="n">
        <v>1795.96</v>
      </c>
      <c r="W11" s="16" t="n">
        <v>206</v>
      </c>
      <c r="X11" s="13" t="n">
        <v>13155.16</v>
      </c>
      <c r="Y11" s="13" t="n">
        <v>1.18</v>
      </c>
      <c r="Z11" s="14" t="n">
        <f aca="false">IF(T11=0,0,U11/T11)</f>
        <v>0.0143033014124745</v>
      </c>
      <c r="AA11" s="14" t="n">
        <f aca="false">IF(X11=0,0,V11/X11)</f>
        <v>0.136521334594182</v>
      </c>
      <c r="AB11" s="18" t="n">
        <f aca="false">IF(V11=0,0,X11/V11)</f>
        <v>7.32486246909731</v>
      </c>
    </row>
    <row r="12" customFormat="false" ht="15" hidden="false" customHeight="false" outlineLevel="0" collapsed="false">
      <c r="A12" s="5" t="s">
        <v>63</v>
      </c>
      <c r="B12" s="5" t="s">
        <v>64</v>
      </c>
      <c r="C12" s="5" t="s">
        <v>65</v>
      </c>
      <c r="D12" s="5" t="s">
        <v>66</v>
      </c>
      <c r="E12" s="5" t="s">
        <v>67</v>
      </c>
      <c r="F12" s="6" t="n">
        <v>30.32</v>
      </c>
      <c r="G12" s="6" t="n">
        <v>7.17</v>
      </c>
      <c r="H12" s="7" t="n">
        <v>0.1</v>
      </c>
      <c r="I12" s="6" t="n">
        <v>76.87</v>
      </c>
      <c r="J12" s="6" t="n">
        <v>76.87</v>
      </c>
      <c r="K12" s="6" t="n">
        <v>71.59</v>
      </c>
      <c r="L12" s="8" t="b">
        <f aca="false">TRUE()</f>
        <v>1</v>
      </c>
      <c r="M12" s="9" t="n">
        <v>2</v>
      </c>
      <c r="N12" s="9" t="n">
        <v>105280</v>
      </c>
      <c r="O12" s="9" t="n">
        <v>697</v>
      </c>
      <c r="P12" s="9" t="n">
        <v>584</v>
      </c>
      <c r="Q12" s="9" t="n">
        <v>67</v>
      </c>
      <c r="R12" s="10" t="n">
        <f aca="false">IF(Q12=0,999,O12/(Q12/7))</f>
        <v>72.8208955223881</v>
      </c>
      <c r="S12" s="5" t="s">
        <v>33</v>
      </c>
      <c r="T12" s="9" t="n">
        <v>55944</v>
      </c>
      <c r="U12" s="9" t="n">
        <v>694</v>
      </c>
      <c r="V12" s="6" t="n">
        <v>1006.3</v>
      </c>
      <c r="W12" s="9" t="n">
        <v>35</v>
      </c>
      <c r="X12" s="6" t="n">
        <v>2690.45</v>
      </c>
      <c r="Y12" s="6" t="n">
        <v>1.45</v>
      </c>
      <c r="Z12" s="7" t="n">
        <f aca="false">IF(T12=0,0,U12/T12)</f>
        <v>0.0124052624052624</v>
      </c>
      <c r="AA12" s="7" t="n">
        <f aca="false">IF(X12=0,0,V12/X12)</f>
        <v>0.374026649816945</v>
      </c>
      <c r="AB12" s="11" t="n">
        <f aca="false">IF(V12=0,0,X12/V12)</f>
        <v>2.67360628043327</v>
      </c>
    </row>
    <row r="13" customFormat="false" ht="15" hidden="false" customHeight="false" outlineLevel="0" collapsed="false">
      <c r="A13" s="12" t="s">
        <v>68</v>
      </c>
      <c r="B13" s="12" t="s">
        <v>69</v>
      </c>
      <c r="C13" s="12" t="s">
        <v>65</v>
      </c>
      <c r="D13" s="12" t="s">
        <v>70</v>
      </c>
      <c r="E13" s="12" t="s">
        <v>67</v>
      </c>
      <c r="F13" s="13" t="n">
        <v>6.12</v>
      </c>
      <c r="G13" s="13" t="n">
        <v>7.36</v>
      </c>
      <c r="H13" s="14" t="n">
        <v>0.08</v>
      </c>
      <c r="I13" s="13" t="n">
        <v>22.37</v>
      </c>
      <c r="J13" s="13" t="n">
        <v>22.37</v>
      </c>
      <c r="K13" s="13" t="n">
        <v>20.42</v>
      </c>
      <c r="L13" s="15" t="b">
        <f aca="false">TRUE()</f>
        <v>1</v>
      </c>
      <c r="M13" s="16" t="n">
        <v>11</v>
      </c>
      <c r="N13" s="16" t="n">
        <v>125137</v>
      </c>
      <c r="O13" s="16" t="n">
        <v>1070</v>
      </c>
      <c r="P13" s="16" t="n">
        <v>140</v>
      </c>
      <c r="Q13" s="16" t="n">
        <v>521</v>
      </c>
      <c r="R13" s="17" t="n">
        <f aca="false">IF(Q13=0,999,O13/(Q13/7))</f>
        <v>14.3761996161228</v>
      </c>
      <c r="S13" s="12" t="s">
        <v>33</v>
      </c>
      <c r="T13" s="16" t="n">
        <v>78492</v>
      </c>
      <c r="U13" s="16" t="n">
        <v>377</v>
      </c>
      <c r="V13" s="13" t="n">
        <v>618.28</v>
      </c>
      <c r="W13" s="16" t="n">
        <v>109</v>
      </c>
      <c r="X13" s="13" t="n">
        <v>2438.33</v>
      </c>
      <c r="Y13" s="13" t="n">
        <v>1.64</v>
      </c>
      <c r="Z13" s="14" t="n">
        <f aca="false">IF(T13=0,0,U13/T13)</f>
        <v>0.00480303725220405</v>
      </c>
      <c r="AA13" s="14" t="n">
        <f aca="false">IF(X13=0,0,V13/X13)</f>
        <v>0.253566990522202</v>
      </c>
      <c r="AB13" s="18" t="n">
        <f aca="false">IF(V13=0,0,X13/V13)</f>
        <v>3.94373099566539</v>
      </c>
    </row>
    <row r="14" customFormat="false" ht="15" hidden="false" customHeight="false" outlineLevel="0" collapsed="false">
      <c r="A14" s="5" t="s">
        <v>71</v>
      </c>
      <c r="B14" s="5" t="s">
        <v>72</v>
      </c>
      <c r="C14" s="5" t="s">
        <v>65</v>
      </c>
      <c r="D14" s="5" t="s">
        <v>73</v>
      </c>
      <c r="E14" s="5" t="s">
        <v>67</v>
      </c>
      <c r="F14" s="6" t="n">
        <v>9.71</v>
      </c>
      <c r="G14" s="6" t="n">
        <v>5.79</v>
      </c>
      <c r="H14" s="7" t="n">
        <v>0.15</v>
      </c>
      <c r="I14" s="6" t="n">
        <v>29.69</v>
      </c>
      <c r="J14" s="6" t="n">
        <v>29.69</v>
      </c>
      <c r="K14" s="6" t="n">
        <v>28.7</v>
      </c>
      <c r="L14" s="8" t="b">
        <f aca="false">TRUE()</f>
        <v>1</v>
      </c>
      <c r="M14" s="9" t="n">
        <v>10</v>
      </c>
      <c r="N14" s="9" t="n">
        <v>68508</v>
      </c>
      <c r="O14" s="9" t="n">
        <v>822</v>
      </c>
      <c r="P14" s="9" t="n">
        <v>936</v>
      </c>
      <c r="Q14" s="9" t="n">
        <v>216</v>
      </c>
      <c r="R14" s="10" t="n">
        <f aca="false">IF(Q14=0,999,O14/(Q14/7))</f>
        <v>26.6388888888889</v>
      </c>
      <c r="S14" s="5" t="s">
        <v>33</v>
      </c>
      <c r="T14" s="9" t="n">
        <v>41941</v>
      </c>
      <c r="U14" s="9" t="n">
        <v>633</v>
      </c>
      <c r="V14" s="6" t="n">
        <v>1107.75</v>
      </c>
      <c r="W14" s="9" t="n">
        <v>303</v>
      </c>
      <c r="X14" s="6" t="n">
        <v>8996.07</v>
      </c>
      <c r="Y14" s="6" t="n">
        <v>1.75</v>
      </c>
      <c r="Z14" s="7" t="n">
        <f aca="false">IF(T14=0,0,U14/T14)</f>
        <v>0.0150926301232684</v>
      </c>
      <c r="AA14" s="7" t="n">
        <f aca="false">IF(X14=0,0,V14/X14)</f>
        <v>0.123137103201731</v>
      </c>
      <c r="AB14" s="11" t="n">
        <f aca="false">IF(V14=0,0,X14/V14)</f>
        <v>8.12102911306703</v>
      </c>
    </row>
    <row r="15" customFormat="false" ht="15" hidden="false" customHeight="false" outlineLevel="0" collapsed="false">
      <c r="A15" s="12" t="s">
        <v>74</v>
      </c>
      <c r="B15" s="12" t="s">
        <v>75</v>
      </c>
      <c r="C15" s="12" t="s">
        <v>65</v>
      </c>
      <c r="D15" s="12" t="s">
        <v>73</v>
      </c>
      <c r="E15" s="12" t="s">
        <v>67</v>
      </c>
      <c r="F15" s="13" t="n">
        <v>35.88</v>
      </c>
      <c r="G15" s="13" t="n">
        <v>3.33</v>
      </c>
      <c r="H15" s="14" t="n">
        <v>0.1</v>
      </c>
      <c r="I15" s="13" t="n">
        <v>89.87</v>
      </c>
      <c r="J15" s="13" t="n">
        <v>80.77</v>
      </c>
      <c r="K15" s="13" t="n">
        <v>81.16</v>
      </c>
      <c r="L15" s="15" t="b">
        <f aca="false">FALSE()</f>
        <v>0</v>
      </c>
      <c r="M15" s="16" t="n">
        <v>8</v>
      </c>
      <c r="N15" s="16" t="n">
        <v>64187</v>
      </c>
      <c r="O15" s="16" t="n">
        <v>204</v>
      </c>
      <c r="P15" s="16" t="n">
        <v>1367</v>
      </c>
      <c r="Q15" s="16" t="n">
        <v>385</v>
      </c>
      <c r="R15" s="17" t="n">
        <f aca="false">IF(Q15=0,999,O15/(Q15/7))</f>
        <v>3.70909090909091</v>
      </c>
      <c r="S15" s="12" t="s">
        <v>33</v>
      </c>
      <c r="T15" s="16" t="n">
        <v>107599</v>
      </c>
      <c r="U15" s="16" t="n">
        <v>1151</v>
      </c>
      <c r="V15" s="13" t="n">
        <v>2014.25</v>
      </c>
      <c r="W15" s="16" t="n">
        <v>145</v>
      </c>
      <c r="X15" s="13" t="n">
        <v>13031.15</v>
      </c>
      <c r="Y15" s="13" t="n">
        <v>1.75</v>
      </c>
      <c r="Z15" s="14" t="n">
        <f aca="false">IF(T15=0,0,U15/T15)</f>
        <v>0.0106971254379688</v>
      </c>
      <c r="AA15" s="14" t="n">
        <f aca="false">IF(X15=0,0,V15/X15)</f>
        <v>0.154571929568764</v>
      </c>
      <c r="AB15" s="18" t="n">
        <f aca="false">IF(V15=0,0,X15/V15)</f>
        <v>6.46947995531836</v>
      </c>
    </row>
    <row r="16" customFormat="false" ht="15" hidden="false" customHeight="false" outlineLevel="0" collapsed="false">
      <c r="A16" s="5" t="s">
        <v>76</v>
      </c>
      <c r="B16" s="5" t="s">
        <v>77</v>
      </c>
      <c r="C16" s="5" t="s">
        <v>65</v>
      </c>
      <c r="D16" s="5" t="s">
        <v>78</v>
      </c>
      <c r="E16" s="5" t="s">
        <v>67</v>
      </c>
      <c r="F16" s="6" t="n">
        <v>11.84</v>
      </c>
      <c r="G16" s="6" t="n">
        <v>6.34</v>
      </c>
      <c r="H16" s="7" t="n">
        <v>0.1</v>
      </c>
      <c r="I16" s="6" t="n">
        <v>31.15</v>
      </c>
      <c r="J16" s="6" t="n">
        <v>31.15</v>
      </c>
      <c r="K16" s="6" t="n">
        <v>28.23</v>
      </c>
      <c r="L16" s="8" t="b">
        <f aca="false">TRUE()</f>
        <v>1</v>
      </c>
      <c r="M16" s="9" t="n">
        <v>4</v>
      </c>
      <c r="N16" s="9" t="n">
        <v>90034</v>
      </c>
      <c r="O16" s="9" t="n">
        <v>188</v>
      </c>
      <c r="P16" s="9" t="n">
        <v>189</v>
      </c>
      <c r="Q16" s="9" t="n">
        <v>215</v>
      </c>
      <c r="R16" s="10" t="n">
        <f aca="false">IF(Q16=0,999,O16/(Q16/7))</f>
        <v>6.12093023255814</v>
      </c>
      <c r="S16" s="5" t="s">
        <v>33</v>
      </c>
      <c r="T16" s="9" t="n">
        <v>83636</v>
      </c>
      <c r="U16" s="9" t="n">
        <v>761</v>
      </c>
      <c r="V16" s="6" t="n">
        <v>585.97</v>
      </c>
      <c r="W16" s="9" t="n">
        <v>155</v>
      </c>
      <c r="X16" s="6" t="n">
        <v>4828.25</v>
      </c>
      <c r="Y16" s="6" t="n">
        <v>0.77</v>
      </c>
      <c r="Z16" s="7" t="n">
        <f aca="false">IF(T16=0,0,U16/T16)</f>
        <v>0.00909895260414176</v>
      </c>
      <c r="AA16" s="7" t="n">
        <f aca="false">IF(X16=0,0,V16/X16)</f>
        <v>0.121362812613266</v>
      </c>
      <c r="AB16" s="11" t="n">
        <f aca="false">IF(V16=0,0,X16/V16)</f>
        <v>8.23975630151714</v>
      </c>
    </row>
    <row r="17" customFormat="false" ht="15" hidden="false" customHeight="false" outlineLevel="0" collapsed="false">
      <c r="A17" s="12" t="s">
        <v>79</v>
      </c>
      <c r="B17" s="12" t="s">
        <v>80</v>
      </c>
      <c r="C17" s="12" t="s">
        <v>65</v>
      </c>
      <c r="D17" s="12" t="s">
        <v>78</v>
      </c>
      <c r="E17" s="12" t="s">
        <v>67</v>
      </c>
      <c r="F17" s="13" t="n">
        <v>16.29</v>
      </c>
      <c r="G17" s="13" t="n">
        <v>6.34</v>
      </c>
      <c r="H17" s="14" t="n">
        <v>0.15</v>
      </c>
      <c r="I17" s="13" t="n">
        <v>60.96</v>
      </c>
      <c r="J17" s="13" t="n">
        <v>60.96</v>
      </c>
      <c r="K17" s="13" t="n">
        <v>51.93</v>
      </c>
      <c r="L17" s="15" t="b">
        <f aca="false">TRUE()</f>
        <v>1</v>
      </c>
      <c r="M17" s="16" t="n">
        <v>8</v>
      </c>
      <c r="N17" s="16" t="n">
        <v>39223</v>
      </c>
      <c r="O17" s="16" t="n">
        <v>179</v>
      </c>
      <c r="P17" s="16" t="n">
        <v>631</v>
      </c>
      <c r="Q17" s="16" t="n">
        <v>565</v>
      </c>
      <c r="R17" s="17" t="n">
        <f aca="false">IF(Q17=0,999,O17/(Q17/7))</f>
        <v>2.21769911504425</v>
      </c>
      <c r="S17" s="12" t="s">
        <v>33</v>
      </c>
      <c r="T17" s="16" t="n">
        <v>48295</v>
      </c>
      <c r="U17" s="16" t="n">
        <v>715</v>
      </c>
      <c r="V17" s="13" t="n">
        <v>1101.1</v>
      </c>
      <c r="W17" s="16" t="n">
        <v>45</v>
      </c>
      <c r="X17" s="13" t="n">
        <v>2743.2</v>
      </c>
      <c r="Y17" s="13" t="n">
        <v>1.54</v>
      </c>
      <c r="Z17" s="14" t="n">
        <f aca="false">IF(T17=0,0,U17/T17)</f>
        <v>0.0148048452220727</v>
      </c>
      <c r="AA17" s="14" t="n">
        <f aca="false">IF(X17=0,0,V17/X17)</f>
        <v>0.40139253426655</v>
      </c>
      <c r="AB17" s="18" t="n">
        <f aca="false">IF(V17=0,0,X17/V17)</f>
        <v>2.49132685496322</v>
      </c>
    </row>
    <row r="18" customFormat="false" ht="15" hidden="false" customHeight="false" outlineLevel="0" collapsed="false">
      <c r="A18" s="5" t="s">
        <v>81</v>
      </c>
      <c r="B18" s="5" t="s">
        <v>82</v>
      </c>
      <c r="C18" s="5" t="s">
        <v>65</v>
      </c>
      <c r="D18" s="5" t="s">
        <v>83</v>
      </c>
      <c r="E18" s="5" t="s">
        <v>84</v>
      </c>
      <c r="F18" s="6" t="n">
        <v>7.1</v>
      </c>
      <c r="G18" s="6" t="n">
        <v>3.46</v>
      </c>
      <c r="H18" s="7" t="n">
        <v>0.15</v>
      </c>
      <c r="I18" s="6" t="n">
        <v>26.8</v>
      </c>
      <c r="J18" s="6" t="n">
        <v>25.98</v>
      </c>
      <c r="K18" s="6" t="n">
        <v>26.8</v>
      </c>
      <c r="L18" s="8" t="b">
        <f aca="false">FALSE()</f>
        <v>0</v>
      </c>
      <c r="M18" s="9" t="n">
        <v>9</v>
      </c>
      <c r="N18" s="9" t="n">
        <v>42748</v>
      </c>
      <c r="O18" s="9" t="n">
        <v>1476</v>
      </c>
      <c r="P18" s="9" t="n">
        <v>1371</v>
      </c>
      <c r="Q18" s="9" t="n">
        <v>188</v>
      </c>
      <c r="R18" s="10" t="n">
        <f aca="false">IF(Q18=0,999,O18/(Q18/7))</f>
        <v>54.9574468085106</v>
      </c>
      <c r="S18" s="5" t="s">
        <v>33</v>
      </c>
      <c r="T18" s="9" t="n">
        <v>113754</v>
      </c>
      <c r="U18" s="9" t="n">
        <v>1456</v>
      </c>
      <c r="V18" s="6" t="n">
        <v>1048.32</v>
      </c>
      <c r="W18" s="9" t="n">
        <v>227</v>
      </c>
      <c r="X18" s="6" t="n">
        <v>6083.6</v>
      </c>
      <c r="Y18" s="6" t="n">
        <v>0.72</v>
      </c>
      <c r="Z18" s="7" t="n">
        <f aca="false">IF(T18=0,0,U18/T18)</f>
        <v>0.0127995499059374</v>
      </c>
      <c r="AA18" s="7" t="n">
        <f aca="false">IF(X18=0,0,V18/X18)</f>
        <v>0.172319021631928</v>
      </c>
      <c r="AB18" s="11" t="n">
        <f aca="false">IF(V18=0,0,X18/V18)</f>
        <v>5.80318986568987</v>
      </c>
    </row>
    <row r="19" customFormat="false" ht="15" hidden="false" customHeight="false" outlineLevel="0" collapsed="false">
      <c r="A19" s="12" t="s">
        <v>85</v>
      </c>
      <c r="B19" s="12" t="s">
        <v>86</v>
      </c>
      <c r="C19" s="12" t="s">
        <v>65</v>
      </c>
      <c r="D19" s="12" t="s">
        <v>87</v>
      </c>
      <c r="E19" s="12" t="s">
        <v>84</v>
      </c>
      <c r="F19" s="13" t="n">
        <v>9.21</v>
      </c>
      <c r="G19" s="13" t="n">
        <v>5.12</v>
      </c>
      <c r="H19" s="14" t="n">
        <v>0.1</v>
      </c>
      <c r="I19" s="13" t="n">
        <v>40.59</v>
      </c>
      <c r="J19" s="13" t="n">
        <v>37.15</v>
      </c>
      <c r="K19" s="13" t="n">
        <v>37.34</v>
      </c>
      <c r="L19" s="15" t="b">
        <f aca="false">FALSE()</f>
        <v>0</v>
      </c>
      <c r="M19" s="16" t="n">
        <v>7</v>
      </c>
      <c r="N19" s="16" t="n">
        <v>58588</v>
      </c>
      <c r="O19" s="16" t="n">
        <v>119</v>
      </c>
      <c r="P19" s="16" t="n">
        <v>719</v>
      </c>
      <c r="Q19" s="16" t="n">
        <v>31</v>
      </c>
      <c r="R19" s="17" t="n">
        <f aca="false">IF(Q19=0,999,O19/(Q19/7))</f>
        <v>26.8709677419355</v>
      </c>
      <c r="S19" s="12" t="s">
        <v>33</v>
      </c>
      <c r="T19" s="16" t="n">
        <v>84580</v>
      </c>
      <c r="U19" s="16" t="n">
        <v>854</v>
      </c>
      <c r="V19" s="13" t="n">
        <v>1169.98</v>
      </c>
      <c r="W19" s="16" t="n">
        <v>72</v>
      </c>
      <c r="X19" s="13" t="n">
        <v>2922.48</v>
      </c>
      <c r="Y19" s="13" t="n">
        <v>1.37</v>
      </c>
      <c r="Z19" s="14" t="n">
        <f aca="false">IF(T19=0,0,U19/T19)</f>
        <v>0.0100969496334831</v>
      </c>
      <c r="AA19" s="14" t="n">
        <f aca="false">IF(X19=0,0,V19/X19)</f>
        <v>0.400338069037256</v>
      </c>
      <c r="AB19" s="18" t="n">
        <f aca="false">IF(V19=0,0,X19/V19)</f>
        <v>2.4978888528009</v>
      </c>
    </row>
    <row r="20" customFormat="false" ht="15" hidden="false" customHeight="false" outlineLevel="0" collapsed="false">
      <c r="A20" s="5" t="s">
        <v>88</v>
      </c>
      <c r="B20" s="5" t="s">
        <v>89</v>
      </c>
      <c r="C20" s="5" t="s">
        <v>65</v>
      </c>
      <c r="D20" s="5" t="s">
        <v>83</v>
      </c>
      <c r="E20" s="5" t="s">
        <v>84</v>
      </c>
      <c r="F20" s="6" t="n">
        <v>20.5</v>
      </c>
      <c r="G20" s="6" t="n">
        <v>7.37</v>
      </c>
      <c r="H20" s="7" t="n">
        <v>0.1</v>
      </c>
      <c r="I20" s="6" t="n">
        <v>85.13</v>
      </c>
      <c r="J20" s="6" t="n">
        <v>85.13</v>
      </c>
      <c r="K20" s="6" t="n">
        <v>88.75</v>
      </c>
      <c r="L20" s="8" t="b">
        <f aca="false">TRUE()</f>
        <v>1</v>
      </c>
      <c r="M20" s="9" t="n">
        <v>9</v>
      </c>
      <c r="N20" s="9" t="n">
        <v>28567</v>
      </c>
      <c r="O20" s="9" t="n">
        <v>262</v>
      </c>
      <c r="P20" s="9" t="n">
        <v>788</v>
      </c>
      <c r="Q20" s="9" t="n">
        <v>451</v>
      </c>
      <c r="R20" s="10" t="n">
        <f aca="false">IF(Q20=0,999,O20/(Q20/7))</f>
        <v>4.06651884700665</v>
      </c>
      <c r="S20" s="5" t="s">
        <v>33</v>
      </c>
      <c r="T20" s="9" t="n">
        <v>118399</v>
      </c>
      <c r="U20" s="9" t="n">
        <v>1291</v>
      </c>
      <c r="V20" s="6" t="n">
        <v>942.43</v>
      </c>
      <c r="W20" s="9" t="n">
        <v>31</v>
      </c>
      <c r="X20" s="6" t="n">
        <v>2639.03</v>
      </c>
      <c r="Y20" s="6" t="n">
        <v>0.73</v>
      </c>
      <c r="Z20" s="7" t="n">
        <f aca="false">IF(T20=0,0,U20/T20)</f>
        <v>0.0109038083091918</v>
      </c>
      <c r="AA20" s="7" t="n">
        <f aca="false">IF(X20=0,0,V20/X20)</f>
        <v>0.357112272312175</v>
      </c>
      <c r="AB20" s="11" t="n">
        <f aca="false">IF(V20=0,0,X20/V20)</f>
        <v>2.80023980560891</v>
      </c>
    </row>
    <row r="21" customFormat="false" ht="15" hidden="false" customHeight="false" outlineLevel="0" collapsed="false">
      <c r="A21" s="12" t="s">
        <v>90</v>
      </c>
      <c r="B21" s="12" t="s">
        <v>91</v>
      </c>
      <c r="C21" s="12" t="s">
        <v>65</v>
      </c>
      <c r="D21" s="12" t="s">
        <v>92</v>
      </c>
      <c r="E21" s="12" t="s">
        <v>84</v>
      </c>
      <c r="F21" s="13" t="n">
        <v>18.84</v>
      </c>
      <c r="G21" s="13" t="n">
        <v>6.09</v>
      </c>
      <c r="H21" s="14" t="n">
        <v>0.1</v>
      </c>
      <c r="I21" s="13" t="n">
        <v>51.58</v>
      </c>
      <c r="J21" s="13" t="n">
        <v>48.14</v>
      </c>
      <c r="K21" s="13" t="n">
        <v>48.29</v>
      </c>
      <c r="L21" s="15" t="b">
        <f aca="false">FALSE()</f>
        <v>0</v>
      </c>
      <c r="M21" s="16" t="n">
        <v>5</v>
      </c>
      <c r="N21" s="16" t="n">
        <v>163506</v>
      </c>
      <c r="O21" s="16" t="n">
        <v>2821</v>
      </c>
      <c r="P21" s="16" t="n">
        <v>668</v>
      </c>
      <c r="Q21" s="16" t="n">
        <v>328</v>
      </c>
      <c r="R21" s="17" t="n">
        <f aca="false">IF(Q21=0,999,O21/(Q21/7))</f>
        <v>60.2042682926829</v>
      </c>
      <c r="S21" s="12" t="s">
        <v>33</v>
      </c>
      <c r="T21" s="16" t="n">
        <v>53243</v>
      </c>
      <c r="U21" s="16" t="n">
        <v>660</v>
      </c>
      <c r="V21" s="13" t="n">
        <v>778.8</v>
      </c>
      <c r="W21" s="16" t="n">
        <v>82</v>
      </c>
      <c r="X21" s="13" t="n">
        <v>4229.56</v>
      </c>
      <c r="Y21" s="13" t="n">
        <v>1.18</v>
      </c>
      <c r="Z21" s="14" t="n">
        <f aca="false">IF(T21=0,0,U21/T21)</f>
        <v>0.0123959957177469</v>
      </c>
      <c r="AA21" s="14" t="n">
        <f aca="false">IF(X21=0,0,V21/X21)</f>
        <v>0.184132628453078</v>
      </c>
      <c r="AB21" s="18" t="n">
        <f aca="false">IF(V21=0,0,X21/V21)</f>
        <v>5.43086800205444</v>
      </c>
    </row>
    <row r="22" customFormat="false" ht="15" hidden="false" customHeight="false" outlineLevel="0" collapsed="false">
      <c r="A22" s="5" t="s">
        <v>93</v>
      </c>
      <c r="B22" s="5" t="s">
        <v>94</v>
      </c>
      <c r="C22" s="5" t="s">
        <v>95</v>
      </c>
      <c r="D22" s="5" t="s">
        <v>96</v>
      </c>
      <c r="E22" s="5" t="s">
        <v>84</v>
      </c>
      <c r="F22" s="6" t="n">
        <v>24.55</v>
      </c>
      <c r="G22" s="6" t="n">
        <v>11.42</v>
      </c>
      <c r="H22" s="7" t="n">
        <v>0.12</v>
      </c>
      <c r="I22" s="6" t="n">
        <v>64.18</v>
      </c>
      <c r="J22" s="6" t="n">
        <v>64.18</v>
      </c>
      <c r="K22" s="6" t="n">
        <v>61.59</v>
      </c>
      <c r="L22" s="8" t="b">
        <f aca="false">TRUE()</f>
        <v>1</v>
      </c>
      <c r="M22" s="9" t="n">
        <v>6</v>
      </c>
      <c r="N22" s="9" t="n">
        <v>75362</v>
      </c>
      <c r="O22" s="9" t="n">
        <v>1870</v>
      </c>
      <c r="P22" s="9" t="n">
        <v>1383</v>
      </c>
      <c r="Q22" s="9" t="n">
        <v>222</v>
      </c>
      <c r="R22" s="10" t="n">
        <f aca="false">IF(Q22=0,999,O22/(Q22/7))</f>
        <v>58.963963963964</v>
      </c>
      <c r="S22" s="5" t="s">
        <v>40</v>
      </c>
      <c r="T22" s="9" t="n">
        <v>28510</v>
      </c>
      <c r="U22" s="9" t="n">
        <v>288</v>
      </c>
      <c r="V22" s="6" t="n">
        <v>443.52</v>
      </c>
      <c r="W22" s="9" t="n">
        <v>16</v>
      </c>
      <c r="X22" s="6" t="n">
        <v>1026.88</v>
      </c>
      <c r="Y22" s="6" t="n">
        <v>1.54</v>
      </c>
      <c r="Z22" s="7" t="n">
        <f aca="false">IF(T22=0,0,U22/T22)</f>
        <v>0.0101017186951947</v>
      </c>
      <c r="AA22" s="7" t="n">
        <f aca="false">IF(X22=0,0,V22/X22)</f>
        <v>0.431910252415083</v>
      </c>
      <c r="AB22" s="11" t="n">
        <f aca="false">IF(V22=0,0,X22/V22)</f>
        <v>2.31529581529582</v>
      </c>
    </row>
    <row r="23" customFormat="false" ht="15" hidden="false" customHeight="false" outlineLevel="0" collapsed="false">
      <c r="A23" s="12" t="s">
        <v>97</v>
      </c>
      <c r="B23" s="12" t="s">
        <v>98</v>
      </c>
      <c r="C23" s="12" t="s">
        <v>95</v>
      </c>
      <c r="D23" s="12" t="s">
        <v>99</v>
      </c>
      <c r="E23" s="12" t="s">
        <v>84</v>
      </c>
      <c r="F23" s="13" t="n">
        <v>17</v>
      </c>
      <c r="G23" s="13" t="n">
        <v>11.81</v>
      </c>
      <c r="H23" s="14" t="n">
        <v>0.12</v>
      </c>
      <c r="I23" s="13" t="n">
        <v>62.7</v>
      </c>
      <c r="J23" s="13" t="n">
        <v>61.88</v>
      </c>
      <c r="K23" s="13" t="n">
        <v>63.56</v>
      </c>
      <c r="L23" s="15" t="b">
        <f aca="false">FALSE()</f>
        <v>0</v>
      </c>
      <c r="M23" s="16" t="n">
        <v>1</v>
      </c>
      <c r="N23" s="16" t="n">
        <v>59038</v>
      </c>
      <c r="O23" s="16" t="n">
        <v>87</v>
      </c>
      <c r="P23" s="16" t="n">
        <v>932</v>
      </c>
      <c r="Q23" s="16" t="n">
        <v>210</v>
      </c>
      <c r="R23" s="17" t="n">
        <f aca="false">IF(Q23=0,999,O23/(Q23/7))</f>
        <v>2.9</v>
      </c>
      <c r="S23" s="12" t="s">
        <v>40</v>
      </c>
      <c r="T23" s="16" t="n">
        <v>54821</v>
      </c>
      <c r="U23" s="16" t="n">
        <v>800</v>
      </c>
      <c r="V23" s="13" t="n">
        <v>968</v>
      </c>
      <c r="W23" s="16" t="n">
        <v>43</v>
      </c>
      <c r="X23" s="13" t="n">
        <v>2696.1</v>
      </c>
      <c r="Y23" s="13" t="n">
        <v>1.21</v>
      </c>
      <c r="Z23" s="14" t="n">
        <f aca="false">IF(T23=0,0,U23/T23)</f>
        <v>0.0145929479578993</v>
      </c>
      <c r="AA23" s="14" t="n">
        <f aca="false">IF(X23=0,0,V23/X23)</f>
        <v>0.359037127702978</v>
      </c>
      <c r="AB23" s="18" t="n">
        <f aca="false">IF(V23=0,0,X23/V23)</f>
        <v>2.78522727272727</v>
      </c>
    </row>
    <row r="24" customFormat="false" ht="15" hidden="false" customHeight="false" outlineLevel="0" collapsed="false">
      <c r="A24" s="5" t="s">
        <v>100</v>
      </c>
      <c r="B24" s="5" t="s">
        <v>101</v>
      </c>
      <c r="C24" s="5" t="s">
        <v>95</v>
      </c>
      <c r="D24" s="5" t="s">
        <v>96</v>
      </c>
      <c r="E24" s="5" t="s">
        <v>84</v>
      </c>
      <c r="F24" s="6" t="n">
        <v>13.07</v>
      </c>
      <c r="G24" s="6" t="n">
        <v>11.75</v>
      </c>
      <c r="H24" s="7" t="n">
        <v>0.08</v>
      </c>
      <c r="I24" s="6" t="n">
        <v>49.54</v>
      </c>
      <c r="J24" s="6" t="n">
        <v>49.1</v>
      </c>
      <c r="K24" s="6" t="n">
        <v>50.63</v>
      </c>
      <c r="L24" s="8" t="b">
        <f aca="false">FALSE()</f>
        <v>0</v>
      </c>
      <c r="M24" s="9" t="n">
        <v>12</v>
      </c>
      <c r="N24" s="9" t="n">
        <v>57517</v>
      </c>
      <c r="O24" s="9" t="n">
        <v>182</v>
      </c>
      <c r="P24" s="9" t="n">
        <v>934</v>
      </c>
      <c r="Q24" s="9" t="n">
        <v>187</v>
      </c>
      <c r="R24" s="10" t="n">
        <f aca="false">IF(Q24=0,999,O24/(Q24/7))</f>
        <v>6.81283422459893</v>
      </c>
      <c r="S24" s="5" t="s">
        <v>40</v>
      </c>
      <c r="T24" s="9" t="n">
        <v>17977</v>
      </c>
      <c r="U24" s="9" t="n">
        <v>244</v>
      </c>
      <c r="V24" s="6" t="n">
        <v>329.4</v>
      </c>
      <c r="W24" s="9" t="n">
        <v>15</v>
      </c>
      <c r="X24" s="6" t="n">
        <v>743.1</v>
      </c>
      <c r="Y24" s="6" t="n">
        <v>1.35</v>
      </c>
      <c r="Z24" s="7" t="n">
        <f aca="false">IF(T24=0,0,U24/T24)</f>
        <v>0.0135728987038994</v>
      </c>
      <c r="AA24" s="7" t="n">
        <f aca="false">IF(X24=0,0,V24/X24)</f>
        <v>0.443278159063383</v>
      </c>
      <c r="AB24" s="11" t="n">
        <f aca="false">IF(V24=0,0,X24/V24)</f>
        <v>2.25591985428051</v>
      </c>
    </row>
    <row r="25" customFormat="false" ht="15" hidden="false" customHeight="false" outlineLevel="0" collapsed="false">
      <c r="A25" s="12" t="s">
        <v>102</v>
      </c>
      <c r="B25" s="12" t="s">
        <v>103</v>
      </c>
      <c r="C25" s="12" t="s">
        <v>95</v>
      </c>
      <c r="D25" s="12" t="s">
        <v>104</v>
      </c>
      <c r="E25" s="12" t="s">
        <v>84</v>
      </c>
      <c r="F25" s="13" t="n">
        <v>12.59</v>
      </c>
      <c r="G25" s="13" t="n">
        <v>4.99</v>
      </c>
      <c r="H25" s="14" t="n">
        <v>0.15</v>
      </c>
      <c r="I25" s="13" t="n">
        <v>35.37</v>
      </c>
      <c r="J25" s="13" t="n">
        <v>35.37</v>
      </c>
      <c r="K25" s="13" t="n">
        <v>33.22</v>
      </c>
      <c r="L25" s="15" t="b">
        <f aca="false">TRUE()</f>
        <v>1</v>
      </c>
      <c r="M25" s="16" t="n">
        <v>8</v>
      </c>
      <c r="N25" s="16" t="n">
        <v>124583</v>
      </c>
      <c r="O25" s="16" t="n">
        <v>4535</v>
      </c>
      <c r="P25" s="16" t="n">
        <v>1283</v>
      </c>
      <c r="Q25" s="16" t="n">
        <v>467</v>
      </c>
      <c r="R25" s="17" t="n">
        <f aca="false">IF(Q25=0,999,O25/(Q25/7))</f>
        <v>67.9764453961456</v>
      </c>
      <c r="S25" s="12" t="s">
        <v>33</v>
      </c>
      <c r="T25" s="16" t="n">
        <v>31858</v>
      </c>
      <c r="U25" s="16" t="n">
        <v>233</v>
      </c>
      <c r="V25" s="13" t="n">
        <v>109.51</v>
      </c>
      <c r="W25" s="16" t="n">
        <v>14</v>
      </c>
      <c r="X25" s="13" t="n">
        <v>495.18</v>
      </c>
      <c r="Y25" s="13" t="n">
        <v>0.47</v>
      </c>
      <c r="Z25" s="14" t="n">
        <f aca="false">IF(T25=0,0,U25/T25)</f>
        <v>0.00731370456400276</v>
      </c>
      <c r="AA25" s="14" t="n">
        <f aca="false">IF(X25=0,0,V25/X25)</f>
        <v>0.221151904358011</v>
      </c>
      <c r="AB25" s="18" t="n">
        <f aca="false">IF(V25=0,0,X25/V25)</f>
        <v>4.52177883298329</v>
      </c>
    </row>
    <row r="26" customFormat="false" ht="15" hidden="false" customHeight="false" outlineLevel="0" collapsed="false">
      <c r="A26" s="5" t="s">
        <v>105</v>
      </c>
      <c r="B26" s="5" t="s">
        <v>106</v>
      </c>
      <c r="C26" s="5" t="s">
        <v>95</v>
      </c>
      <c r="D26" s="5" t="s">
        <v>107</v>
      </c>
      <c r="E26" s="5" t="s">
        <v>84</v>
      </c>
      <c r="F26" s="6" t="n">
        <v>14.03</v>
      </c>
      <c r="G26" s="6" t="n">
        <v>3.36</v>
      </c>
      <c r="H26" s="7" t="n">
        <v>0.1</v>
      </c>
      <c r="I26" s="6" t="n">
        <v>36.86</v>
      </c>
      <c r="J26" s="6" t="n">
        <v>36.86</v>
      </c>
      <c r="K26" s="6" t="n">
        <v>34.15</v>
      </c>
      <c r="L26" s="8" t="b">
        <f aca="false">TRUE()</f>
        <v>1</v>
      </c>
      <c r="M26" s="9" t="n">
        <v>3</v>
      </c>
      <c r="N26" s="9" t="n">
        <v>56236</v>
      </c>
      <c r="O26" s="9" t="n">
        <v>482</v>
      </c>
      <c r="P26" s="9" t="n">
        <v>797</v>
      </c>
      <c r="Q26" s="9" t="n">
        <v>72</v>
      </c>
      <c r="R26" s="10" t="n">
        <f aca="false">IF(Q26=0,999,O26/(Q26/7))</f>
        <v>46.8611111111111</v>
      </c>
      <c r="S26" s="5" t="s">
        <v>33</v>
      </c>
      <c r="T26" s="9" t="n">
        <v>119098</v>
      </c>
      <c r="U26" s="9" t="n">
        <v>1572</v>
      </c>
      <c r="V26" s="6" t="n">
        <v>2782.44</v>
      </c>
      <c r="W26" s="9" t="n">
        <v>597</v>
      </c>
      <c r="X26" s="6" t="n">
        <v>22005.42</v>
      </c>
      <c r="Y26" s="6" t="n">
        <v>1.77</v>
      </c>
      <c r="Z26" s="7" t="n">
        <f aca="false">IF(T26=0,0,U26/T26)</f>
        <v>0.013199214092596</v>
      </c>
      <c r="AA26" s="7" t="n">
        <f aca="false">IF(X26=0,0,V26/X26)</f>
        <v>0.126443394400107</v>
      </c>
      <c r="AB26" s="11" t="n">
        <f aca="false">IF(V26=0,0,X26/V26)</f>
        <v>7.90867727605986</v>
      </c>
    </row>
    <row r="27" customFormat="false" ht="15" hidden="false" customHeight="false" outlineLevel="0" collapsed="false">
      <c r="A27" s="12" t="s">
        <v>108</v>
      </c>
      <c r="B27" s="12" t="s">
        <v>109</v>
      </c>
      <c r="C27" s="12" t="s">
        <v>95</v>
      </c>
      <c r="D27" s="12" t="s">
        <v>104</v>
      </c>
      <c r="E27" s="12" t="s">
        <v>84</v>
      </c>
      <c r="F27" s="13" t="n">
        <v>8.94</v>
      </c>
      <c r="G27" s="13" t="n">
        <v>4.58</v>
      </c>
      <c r="H27" s="14" t="n">
        <v>0.15</v>
      </c>
      <c r="I27" s="13" t="n">
        <v>40.42</v>
      </c>
      <c r="J27" s="13" t="n">
        <v>38.4</v>
      </c>
      <c r="K27" s="13" t="n">
        <v>38.71</v>
      </c>
      <c r="L27" s="15" t="b">
        <f aca="false">FALSE()</f>
        <v>0</v>
      </c>
      <c r="M27" s="16" t="n">
        <v>6</v>
      </c>
      <c r="N27" s="16" t="n">
        <v>57962</v>
      </c>
      <c r="O27" s="16" t="n">
        <v>3982</v>
      </c>
      <c r="P27" s="16" t="n">
        <v>1483</v>
      </c>
      <c r="Q27" s="16" t="n">
        <v>506</v>
      </c>
      <c r="R27" s="17" t="n">
        <f aca="false">IF(Q27=0,999,O27/(Q27/7))</f>
        <v>55.0869565217391</v>
      </c>
      <c r="S27" s="12" t="s">
        <v>33</v>
      </c>
      <c r="T27" s="16" t="n">
        <v>22132</v>
      </c>
      <c r="U27" s="16" t="n">
        <v>312</v>
      </c>
      <c r="V27" s="13" t="n">
        <v>539.76</v>
      </c>
      <c r="W27" s="16" t="n">
        <v>30</v>
      </c>
      <c r="X27" s="13" t="n">
        <v>1212.6</v>
      </c>
      <c r="Y27" s="13" t="n">
        <v>1.73</v>
      </c>
      <c r="Z27" s="14" t="n">
        <f aca="false">IF(T27=0,0,U27/T27)</f>
        <v>0.0140972347731791</v>
      </c>
      <c r="AA27" s="14" t="n">
        <f aca="false">IF(X27=0,0,V27/X27)</f>
        <v>0.445126175160812</v>
      </c>
      <c r="AB27" s="18" t="n">
        <f aca="false">IF(V27=0,0,X27/V27)</f>
        <v>2.24655402401067</v>
      </c>
    </row>
    <row r="28" customFormat="false" ht="15" hidden="false" customHeight="false" outlineLevel="0" collapsed="false">
      <c r="A28" s="5" t="s">
        <v>110</v>
      </c>
      <c r="B28" s="5" t="s">
        <v>111</v>
      </c>
      <c r="C28" s="5" t="s">
        <v>95</v>
      </c>
      <c r="D28" s="5" t="s">
        <v>112</v>
      </c>
      <c r="E28" s="5" t="s">
        <v>113</v>
      </c>
      <c r="F28" s="6" t="n">
        <v>3.53</v>
      </c>
      <c r="G28" s="6" t="n">
        <v>5.54</v>
      </c>
      <c r="H28" s="7" t="n">
        <v>0.08</v>
      </c>
      <c r="I28" s="6" t="n">
        <v>12.15</v>
      </c>
      <c r="J28" s="6" t="n">
        <v>12.15</v>
      </c>
      <c r="K28" s="6" t="n">
        <v>11.89</v>
      </c>
      <c r="L28" s="8" t="b">
        <f aca="false">TRUE()</f>
        <v>1</v>
      </c>
      <c r="M28" s="9" t="n">
        <v>1</v>
      </c>
      <c r="N28" s="9" t="n">
        <v>121181</v>
      </c>
      <c r="O28" s="9" t="n">
        <v>1511</v>
      </c>
      <c r="P28" s="9" t="n">
        <v>569</v>
      </c>
      <c r="Q28" s="9" t="n">
        <v>193</v>
      </c>
      <c r="R28" s="10" t="n">
        <f aca="false">IF(Q28=0,999,O28/(Q28/7))</f>
        <v>54.8031088082902</v>
      </c>
      <c r="S28" s="5" t="s">
        <v>33</v>
      </c>
      <c r="T28" s="9" t="n">
        <v>99067</v>
      </c>
      <c r="U28" s="9" t="n">
        <v>1526</v>
      </c>
      <c r="V28" s="6" t="n">
        <v>1495.48</v>
      </c>
      <c r="W28" s="9" t="n">
        <v>311</v>
      </c>
      <c r="X28" s="6" t="n">
        <v>3778.65</v>
      </c>
      <c r="Y28" s="6" t="n">
        <v>0.98</v>
      </c>
      <c r="Z28" s="7" t="n">
        <f aca="false">IF(T28=0,0,U28/T28)</f>
        <v>0.0154037166765926</v>
      </c>
      <c r="AA28" s="7" t="n">
        <f aca="false">IF(X28=0,0,V28/X28)</f>
        <v>0.395770976406918</v>
      </c>
      <c r="AB28" s="11" t="n">
        <f aca="false">IF(V28=0,0,X28/V28)</f>
        <v>2.52671383101078</v>
      </c>
    </row>
    <row r="29" customFormat="false" ht="15" hidden="false" customHeight="false" outlineLevel="0" collapsed="false">
      <c r="A29" s="12" t="s">
        <v>114</v>
      </c>
      <c r="B29" s="12" t="s">
        <v>115</v>
      </c>
      <c r="C29" s="12" t="s">
        <v>95</v>
      </c>
      <c r="D29" s="12" t="s">
        <v>116</v>
      </c>
      <c r="E29" s="12" t="s">
        <v>113</v>
      </c>
      <c r="F29" s="13" t="n">
        <v>3.66</v>
      </c>
      <c r="G29" s="13" t="n">
        <v>7.5</v>
      </c>
      <c r="H29" s="14" t="n">
        <v>0.12</v>
      </c>
      <c r="I29" s="13" t="n">
        <v>11.54</v>
      </c>
      <c r="J29" s="13" t="n">
        <v>11.15</v>
      </c>
      <c r="K29" s="13" t="n">
        <v>11.31</v>
      </c>
      <c r="L29" s="15" t="b">
        <f aca="false">FALSE()</f>
        <v>0</v>
      </c>
      <c r="M29" s="16" t="n">
        <v>3</v>
      </c>
      <c r="N29" s="16" t="n">
        <v>8284</v>
      </c>
      <c r="O29" s="16" t="n">
        <v>119</v>
      </c>
      <c r="P29" s="16" t="n">
        <v>1155</v>
      </c>
      <c r="Q29" s="16" t="n">
        <v>260</v>
      </c>
      <c r="R29" s="17" t="n">
        <f aca="false">IF(Q29=0,999,O29/(Q29/7))</f>
        <v>3.20384615384615</v>
      </c>
      <c r="S29" s="12" t="s">
        <v>33</v>
      </c>
      <c r="T29" s="16" t="n">
        <v>29069</v>
      </c>
      <c r="U29" s="16" t="n">
        <v>279</v>
      </c>
      <c r="V29" s="13" t="n">
        <v>203.67</v>
      </c>
      <c r="W29" s="16" t="n">
        <v>73</v>
      </c>
      <c r="X29" s="13" t="n">
        <v>842.42</v>
      </c>
      <c r="Y29" s="13" t="n">
        <v>0.73</v>
      </c>
      <c r="Z29" s="14" t="n">
        <f aca="false">IF(T29=0,0,U29/T29)</f>
        <v>0.00959785338332932</v>
      </c>
      <c r="AA29" s="14" t="n">
        <f aca="false">IF(X29=0,0,V29/X29)</f>
        <v>0.241767764298094</v>
      </c>
      <c r="AB29" s="18" t="n">
        <f aca="false">IF(V29=0,0,X29/V29)</f>
        <v>4.13620071684588</v>
      </c>
    </row>
    <row r="30" customFormat="false" ht="15" hidden="false" customHeight="false" outlineLevel="0" collapsed="false">
      <c r="A30" s="5" t="s">
        <v>117</v>
      </c>
      <c r="B30" s="5" t="s">
        <v>118</v>
      </c>
      <c r="C30" s="5" t="s">
        <v>95</v>
      </c>
      <c r="D30" s="5" t="s">
        <v>119</v>
      </c>
      <c r="E30" s="5" t="s">
        <v>113</v>
      </c>
      <c r="F30" s="6" t="n">
        <v>20.77</v>
      </c>
      <c r="G30" s="6" t="n">
        <v>3.52</v>
      </c>
      <c r="H30" s="7" t="n">
        <v>0.1</v>
      </c>
      <c r="I30" s="6" t="n">
        <v>58.57</v>
      </c>
      <c r="J30" s="6" t="n">
        <v>58.57</v>
      </c>
      <c r="K30" s="6" t="n">
        <v>51.05</v>
      </c>
      <c r="L30" s="8" t="b">
        <f aca="false">TRUE()</f>
        <v>1</v>
      </c>
      <c r="M30" s="9" t="n">
        <v>4</v>
      </c>
      <c r="N30" s="9" t="n">
        <v>81927</v>
      </c>
      <c r="O30" s="9" t="n">
        <v>516</v>
      </c>
      <c r="P30" s="9" t="n">
        <v>1212</v>
      </c>
      <c r="Q30" s="9" t="n">
        <v>596</v>
      </c>
      <c r="R30" s="10" t="n">
        <f aca="false">IF(Q30=0,999,O30/(Q30/7))</f>
        <v>6.06040268456376</v>
      </c>
      <c r="S30" s="5" t="s">
        <v>33</v>
      </c>
      <c r="T30" s="9" t="n">
        <v>91020</v>
      </c>
      <c r="U30" s="9" t="n">
        <v>1274</v>
      </c>
      <c r="V30" s="6" t="n">
        <v>904.54</v>
      </c>
      <c r="W30" s="9" t="n">
        <v>44</v>
      </c>
      <c r="X30" s="6" t="n">
        <v>2577.08</v>
      </c>
      <c r="Y30" s="6" t="n">
        <v>0.71</v>
      </c>
      <c r="Z30" s="7" t="n">
        <f aca="false">IF(T30=0,0,U30/T30)</f>
        <v>0.0139969237530213</v>
      </c>
      <c r="AA30" s="7" t="n">
        <f aca="false">IF(X30=0,0,V30/X30)</f>
        <v>0.350994148416037</v>
      </c>
      <c r="AB30" s="11" t="n">
        <f aca="false">IF(V30=0,0,X30/V30)</f>
        <v>2.84905034603224</v>
      </c>
    </row>
    <row r="31" customFormat="false" ht="15" hidden="false" customHeight="false" outlineLevel="0" collapsed="false">
      <c r="A31" s="12" t="s">
        <v>120</v>
      </c>
      <c r="B31" s="12" t="s">
        <v>121</v>
      </c>
      <c r="C31" s="12" t="s">
        <v>95</v>
      </c>
      <c r="D31" s="12" t="s">
        <v>122</v>
      </c>
      <c r="E31" s="12" t="s">
        <v>113</v>
      </c>
      <c r="F31" s="13" t="n">
        <v>25.59</v>
      </c>
      <c r="G31" s="13" t="n">
        <v>3.54</v>
      </c>
      <c r="H31" s="14" t="n">
        <v>0.08</v>
      </c>
      <c r="I31" s="13" t="n">
        <v>78.01</v>
      </c>
      <c r="J31" s="13" t="n">
        <v>71.84</v>
      </c>
      <c r="K31" s="13" t="n">
        <v>74.62</v>
      </c>
      <c r="L31" s="15" t="b">
        <f aca="false">FALSE()</f>
        <v>0</v>
      </c>
      <c r="M31" s="16" t="n">
        <v>5</v>
      </c>
      <c r="N31" s="16" t="n">
        <v>169899</v>
      </c>
      <c r="O31" s="16" t="n">
        <v>1640</v>
      </c>
      <c r="P31" s="16" t="n">
        <v>1301</v>
      </c>
      <c r="Q31" s="16" t="n">
        <v>356</v>
      </c>
      <c r="R31" s="17" t="n">
        <f aca="false">IF(Q31=0,999,O31/(Q31/7))</f>
        <v>32.247191011236</v>
      </c>
      <c r="S31" s="12" t="s">
        <v>33</v>
      </c>
      <c r="T31" s="16" t="n">
        <v>117360</v>
      </c>
      <c r="U31" s="16" t="n">
        <v>1631</v>
      </c>
      <c r="V31" s="13" t="n">
        <v>2299.71</v>
      </c>
      <c r="W31" s="16" t="n">
        <v>112</v>
      </c>
      <c r="X31" s="13" t="n">
        <v>8737.12</v>
      </c>
      <c r="Y31" s="13" t="n">
        <v>1.41</v>
      </c>
      <c r="Z31" s="14" t="n">
        <f aca="false">IF(T31=0,0,U31/T31)</f>
        <v>0.0138974096796183</v>
      </c>
      <c r="AA31" s="14" t="n">
        <f aca="false">IF(X31=0,0,V31/X31)</f>
        <v>0.263211447250353</v>
      </c>
      <c r="AB31" s="18" t="n">
        <f aca="false">IF(V31=0,0,X31/V31)</f>
        <v>3.79922685903875</v>
      </c>
    </row>
    <row r="32" customFormat="false" ht="15" hidden="false" customHeight="false" outlineLevel="0" collapsed="false">
      <c r="A32" s="5" t="s">
        <v>123</v>
      </c>
      <c r="B32" s="5" t="s">
        <v>124</v>
      </c>
      <c r="C32" s="5" t="s">
        <v>125</v>
      </c>
      <c r="D32" s="5" t="s">
        <v>126</v>
      </c>
      <c r="E32" s="5" t="s">
        <v>32</v>
      </c>
      <c r="F32" s="6" t="n">
        <v>23.43</v>
      </c>
      <c r="G32" s="6" t="n">
        <v>6.64</v>
      </c>
      <c r="H32" s="7" t="n">
        <v>0.15</v>
      </c>
      <c r="I32" s="6" t="n">
        <v>87.23</v>
      </c>
      <c r="J32" s="6" t="n">
        <v>79.35</v>
      </c>
      <c r="K32" s="6" t="n">
        <v>81.74</v>
      </c>
      <c r="L32" s="8" t="b">
        <f aca="false">FALSE()</f>
        <v>0</v>
      </c>
      <c r="M32" s="9" t="n">
        <v>7</v>
      </c>
      <c r="N32" s="9" t="n">
        <v>64505</v>
      </c>
      <c r="O32" s="9" t="n">
        <v>843</v>
      </c>
      <c r="P32" s="9" t="n">
        <v>688</v>
      </c>
      <c r="Q32" s="9" t="n">
        <v>95</v>
      </c>
      <c r="R32" s="10" t="n">
        <f aca="false">IF(Q32=0,999,O32/(Q32/7))</f>
        <v>62.1157894736842</v>
      </c>
      <c r="S32" s="5" t="s">
        <v>33</v>
      </c>
      <c r="T32" s="9" t="n">
        <v>4261</v>
      </c>
      <c r="U32" s="9" t="n">
        <v>42</v>
      </c>
      <c r="V32" s="6" t="n">
        <v>35.28</v>
      </c>
      <c r="W32" s="9" t="n">
        <v>1</v>
      </c>
      <c r="X32" s="6" t="n">
        <v>87.23</v>
      </c>
      <c r="Y32" s="6" t="n">
        <v>0.84</v>
      </c>
      <c r="Z32" s="7" t="n">
        <f aca="false">IF(T32=0,0,U32/T32)</f>
        <v>0.00985684111710866</v>
      </c>
      <c r="AA32" s="7" t="n">
        <f aca="false">IF(X32=0,0,V32/X32)</f>
        <v>0.404448011005388</v>
      </c>
      <c r="AB32" s="11" t="n">
        <f aca="false">IF(V32=0,0,X32/V32)</f>
        <v>2.47250566893424</v>
      </c>
    </row>
    <row r="33" customFormat="false" ht="15" hidden="false" customHeight="false" outlineLevel="0" collapsed="false">
      <c r="A33" s="12" t="s">
        <v>127</v>
      </c>
      <c r="B33" s="12" t="s">
        <v>128</v>
      </c>
      <c r="C33" s="12" t="s">
        <v>125</v>
      </c>
      <c r="D33" s="12" t="s">
        <v>129</v>
      </c>
      <c r="E33" s="12" t="s">
        <v>32</v>
      </c>
      <c r="F33" s="13" t="n">
        <v>20.76</v>
      </c>
      <c r="G33" s="13" t="n">
        <v>6.96</v>
      </c>
      <c r="H33" s="14" t="n">
        <v>0.12</v>
      </c>
      <c r="I33" s="13" t="n">
        <v>73.82</v>
      </c>
      <c r="J33" s="13" t="n">
        <v>60.6</v>
      </c>
      <c r="K33" s="13" t="n">
        <v>62.9</v>
      </c>
      <c r="L33" s="15" t="b">
        <f aca="false">FALSE()</f>
        <v>0</v>
      </c>
      <c r="M33" s="16" t="n">
        <v>8</v>
      </c>
      <c r="N33" s="16" t="n">
        <v>106692</v>
      </c>
      <c r="O33" s="16" t="n">
        <v>4806</v>
      </c>
      <c r="P33" s="16" t="n">
        <v>35</v>
      </c>
      <c r="Q33" s="16" t="n">
        <v>507</v>
      </c>
      <c r="R33" s="17" t="n">
        <f aca="false">IF(Q33=0,999,O33/(Q33/7))</f>
        <v>66.3550295857988</v>
      </c>
      <c r="S33" s="12" t="s">
        <v>33</v>
      </c>
      <c r="T33" s="16" t="n">
        <v>12696</v>
      </c>
      <c r="U33" s="16" t="n">
        <v>95</v>
      </c>
      <c r="V33" s="13" t="n">
        <v>91.2</v>
      </c>
      <c r="W33" s="16" t="n">
        <v>6</v>
      </c>
      <c r="X33" s="13" t="n">
        <v>442.92</v>
      </c>
      <c r="Y33" s="13" t="n">
        <v>0.96</v>
      </c>
      <c r="Z33" s="14" t="n">
        <f aca="false">IF(T33=0,0,U33/T33)</f>
        <v>0.00748267170762445</v>
      </c>
      <c r="AA33" s="14" t="n">
        <f aca="false">IF(X33=0,0,V33/X33)</f>
        <v>0.20590625846654</v>
      </c>
      <c r="AB33" s="18" t="n">
        <f aca="false">IF(V33=0,0,X33/V33)</f>
        <v>4.85657894736842</v>
      </c>
    </row>
    <row r="34" customFormat="false" ht="15" hidden="false" customHeight="false" outlineLevel="0" collapsed="false">
      <c r="A34" s="5" t="s">
        <v>130</v>
      </c>
      <c r="B34" s="5" t="s">
        <v>131</v>
      </c>
      <c r="C34" s="5" t="s">
        <v>125</v>
      </c>
      <c r="D34" s="5" t="s">
        <v>132</v>
      </c>
      <c r="E34" s="5" t="s">
        <v>32</v>
      </c>
      <c r="F34" s="6" t="n">
        <v>12.63</v>
      </c>
      <c r="G34" s="6" t="n">
        <v>4.55</v>
      </c>
      <c r="H34" s="7" t="n">
        <v>0.12</v>
      </c>
      <c r="I34" s="6" t="n">
        <v>39.51</v>
      </c>
      <c r="J34" s="6" t="n">
        <v>39.51</v>
      </c>
      <c r="K34" s="6" t="n">
        <v>39.14</v>
      </c>
      <c r="L34" s="8" t="b">
        <f aca="false">TRUE()</f>
        <v>1</v>
      </c>
      <c r="M34" s="9" t="n">
        <v>5</v>
      </c>
      <c r="N34" s="9" t="n">
        <v>66053</v>
      </c>
      <c r="O34" s="9" t="n">
        <v>358</v>
      </c>
      <c r="P34" s="9" t="n">
        <v>392</v>
      </c>
      <c r="Q34" s="9" t="n">
        <v>243</v>
      </c>
      <c r="R34" s="10" t="n">
        <f aca="false">IF(Q34=0,999,O34/(Q34/7))</f>
        <v>10.3127572016461</v>
      </c>
      <c r="S34" s="5" t="s">
        <v>33</v>
      </c>
      <c r="T34" s="9" t="n">
        <v>28861</v>
      </c>
      <c r="U34" s="9" t="n">
        <v>372</v>
      </c>
      <c r="V34" s="6" t="n">
        <v>282.72</v>
      </c>
      <c r="W34" s="9" t="n">
        <v>23</v>
      </c>
      <c r="X34" s="6" t="n">
        <v>908.73</v>
      </c>
      <c r="Y34" s="6" t="n">
        <v>0.76</v>
      </c>
      <c r="Z34" s="7" t="n">
        <f aca="false">IF(T34=0,0,U34/T34)</f>
        <v>0.0128893662728249</v>
      </c>
      <c r="AA34" s="7" t="n">
        <f aca="false">IF(X34=0,0,V34/X34)</f>
        <v>0.311115512858605</v>
      </c>
      <c r="AB34" s="11" t="n">
        <f aca="false">IF(V34=0,0,X34/V34)</f>
        <v>3.214240237691</v>
      </c>
    </row>
    <row r="35" customFormat="false" ht="15" hidden="false" customHeight="false" outlineLevel="0" collapsed="false">
      <c r="A35" s="12" t="s">
        <v>133</v>
      </c>
      <c r="B35" s="12" t="s">
        <v>134</v>
      </c>
      <c r="C35" s="12" t="s">
        <v>125</v>
      </c>
      <c r="D35" s="12" t="s">
        <v>126</v>
      </c>
      <c r="E35" s="12" t="s">
        <v>32</v>
      </c>
      <c r="F35" s="13" t="n">
        <v>22.89</v>
      </c>
      <c r="G35" s="13" t="n">
        <v>6.75</v>
      </c>
      <c r="H35" s="14" t="n">
        <v>0.12</v>
      </c>
      <c r="I35" s="13" t="n">
        <v>57.73</v>
      </c>
      <c r="J35" s="13" t="n">
        <v>57.73</v>
      </c>
      <c r="K35" s="13" t="n">
        <v>53.24</v>
      </c>
      <c r="L35" s="15" t="b">
        <f aca="false">TRUE()</f>
        <v>1</v>
      </c>
      <c r="M35" s="16" t="n">
        <v>3</v>
      </c>
      <c r="N35" s="16" t="n">
        <v>140170</v>
      </c>
      <c r="O35" s="16" t="n">
        <v>383</v>
      </c>
      <c r="P35" s="16" t="n">
        <v>1306</v>
      </c>
      <c r="Q35" s="16" t="n">
        <v>136</v>
      </c>
      <c r="R35" s="17" t="n">
        <f aca="false">IF(Q35=0,999,O35/(Q35/7))</f>
        <v>19.7132352941177</v>
      </c>
      <c r="S35" s="12" t="s">
        <v>33</v>
      </c>
      <c r="T35" s="16" t="n">
        <v>114330</v>
      </c>
      <c r="U35" s="16" t="n">
        <v>1486</v>
      </c>
      <c r="V35" s="13" t="n">
        <v>743</v>
      </c>
      <c r="W35" s="16" t="n">
        <v>104</v>
      </c>
      <c r="X35" s="13" t="n">
        <v>6003.92</v>
      </c>
      <c r="Y35" s="13" t="n">
        <v>0.5</v>
      </c>
      <c r="Z35" s="14" t="n">
        <f aca="false">IF(T35=0,0,U35/T35)</f>
        <v>0.0129974634829004</v>
      </c>
      <c r="AA35" s="14" t="n">
        <f aca="false">IF(X35=0,0,V35/X35)</f>
        <v>0.123752481711948</v>
      </c>
      <c r="AB35" s="18" t="n">
        <f aca="false">IF(V35=0,0,X35/V35)</f>
        <v>8.08064602960969</v>
      </c>
    </row>
    <row r="36" customFormat="false" ht="15" hidden="false" customHeight="false" outlineLevel="0" collapsed="false">
      <c r="A36" s="5" t="s">
        <v>135</v>
      </c>
      <c r="B36" s="5" t="s">
        <v>136</v>
      </c>
      <c r="C36" s="5" t="s">
        <v>125</v>
      </c>
      <c r="D36" s="5" t="s">
        <v>137</v>
      </c>
      <c r="E36" s="5" t="s">
        <v>32</v>
      </c>
      <c r="F36" s="6" t="n">
        <v>14.23</v>
      </c>
      <c r="G36" s="6" t="n">
        <v>7.97</v>
      </c>
      <c r="H36" s="7" t="n">
        <v>0.08</v>
      </c>
      <c r="I36" s="6" t="n">
        <v>47.54</v>
      </c>
      <c r="J36" s="6" t="n">
        <v>47.54</v>
      </c>
      <c r="K36" s="6" t="n">
        <v>49.36</v>
      </c>
      <c r="L36" s="8" t="b">
        <f aca="false">TRUE()</f>
        <v>1</v>
      </c>
      <c r="M36" s="9" t="n">
        <v>4</v>
      </c>
      <c r="N36" s="9" t="n">
        <v>17279</v>
      </c>
      <c r="O36" s="9" t="n">
        <v>2214</v>
      </c>
      <c r="P36" s="9" t="n">
        <v>174</v>
      </c>
      <c r="Q36" s="9" t="n">
        <v>417</v>
      </c>
      <c r="R36" s="10" t="n">
        <f aca="false">IF(Q36=0,999,O36/(Q36/7))</f>
        <v>37.1654676258993</v>
      </c>
      <c r="S36" s="5" t="s">
        <v>40</v>
      </c>
      <c r="T36" s="9" t="n">
        <v>33030</v>
      </c>
      <c r="U36" s="9" t="n">
        <v>178</v>
      </c>
      <c r="V36" s="6" t="n">
        <v>267</v>
      </c>
      <c r="W36" s="9" t="n">
        <v>18</v>
      </c>
      <c r="X36" s="6" t="n">
        <v>855.72</v>
      </c>
      <c r="Y36" s="6" t="n">
        <v>1.5</v>
      </c>
      <c r="Z36" s="7" t="n">
        <f aca="false">IF(T36=0,0,U36/T36)</f>
        <v>0.00538904026642446</v>
      </c>
      <c r="AA36" s="7" t="n">
        <f aca="false">IF(X36=0,0,V36/X36)</f>
        <v>0.312017949796663</v>
      </c>
      <c r="AB36" s="11" t="n">
        <f aca="false">IF(V36=0,0,X36/V36)</f>
        <v>3.20494382022472</v>
      </c>
    </row>
    <row r="37" customFormat="false" ht="15" hidden="false" customHeight="false" outlineLevel="0" collapsed="false">
      <c r="A37" s="12" t="s">
        <v>138</v>
      </c>
      <c r="B37" s="12" t="s">
        <v>139</v>
      </c>
      <c r="C37" s="12" t="s">
        <v>125</v>
      </c>
      <c r="D37" s="12" t="s">
        <v>132</v>
      </c>
      <c r="E37" s="12" t="s">
        <v>32</v>
      </c>
      <c r="F37" s="13" t="n">
        <v>8.81</v>
      </c>
      <c r="G37" s="13" t="n">
        <v>5.03</v>
      </c>
      <c r="H37" s="14" t="n">
        <v>0.15</v>
      </c>
      <c r="I37" s="13" t="n">
        <v>28.04</v>
      </c>
      <c r="J37" s="13" t="n">
        <v>27.26</v>
      </c>
      <c r="K37" s="13" t="n">
        <v>28.66</v>
      </c>
      <c r="L37" s="15" t="b">
        <f aca="false">FALSE()</f>
        <v>0</v>
      </c>
      <c r="M37" s="16" t="n">
        <v>4</v>
      </c>
      <c r="N37" s="16" t="n">
        <v>162948</v>
      </c>
      <c r="O37" s="16" t="n">
        <v>164</v>
      </c>
      <c r="P37" s="16" t="n">
        <v>541</v>
      </c>
      <c r="Q37" s="16" t="n">
        <v>68</v>
      </c>
      <c r="R37" s="17" t="n">
        <f aca="false">IF(Q37=0,999,O37/(Q37/7))</f>
        <v>16.8823529411765</v>
      </c>
      <c r="S37" s="12" t="s">
        <v>33</v>
      </c>
      <c r="T37" s="16" t="n">
        <v>87063</v>
      </c>
      <c r="U37" s="16" t="n">
        <v>435</v>
      </c>
      <c r="V37" s="13" t="n">
        <v>308.85</v>
      </c>
      <c r="W37" s="16" t="n">
        <v>36</v>
      </c>
      <c r="X37" s="13" t="n">
        <v>1009.44</v>
      </c>
      <c r="Y37" s="13" t="n">
        <v>0.71</v>
      </c>
      <c r="Z37" s="14" t="n">
        <f aca="false">IF(T37=0,0,U37/T37)</f>
        <v>0.00499638193032632</v>
      </c>
      <c r="AA37" s="14" t="n">
        <f aca="false">IF(X37=0,0,V37/X37)</f>
        <v>0.305961721350452</v>
      </c>
      <c r="AB37" s="18" t="n">
        <f aca="false">IF(V37=0,0,X37/V37)</f>
        <v>3.26838271005342</v>
      </c>
    </row>
    <row r="38" customFormat="false" ht="15" hidden="false" customHeight="false" outlineLevel="0" collapsed="false">
      <c r="A38" s="5" t="s">
        <v>140</v>
      </c>
      <c r="B38" s="5" t="s">
        <v>141</v>
      </c>
      <c r="C38" s="5" t="s">
        <v>125</v>
      </c>
      <c r="D38" s="5" t="s">
        <v>142</v>
      </c>
      <c r="E38" s="5" t="s">
        <v>143</v>
      </c>
      <c r="F38" s="6" t="n">
        <v>3.07</v>
      </c>
      <c r="G38" s="6" t="n">
        <v>5.67</v>
      </c>
      <c r="H38" s="7" t="n">
        <v>0.12</v>
      </c>
      <c r="I38" s="6" t="n">
        <v>10.2</v>
      </c>
      <c r="J38" s="6" t="n">
        <v>10.2</v>
      </c>
      <c r="K38" s="6" t="n">
        <v>10.2</v>
      </c>
      <c r="L38" s="8" t="b">
        <f aca="false">TRUE()</f>
        <v>1</v>
      </c>
      <c r="M38" s="9" t="n">
        <v>0</v>
      </c>
      <c r="N38" s="9" t="n">
        <v>74262</v>
      </c>
      <c r="O38" s="9" t="n">
        <v>727</v>
      </c>
      <c r="P38" s="9" t="n">
        <v>870</v>
      </c>
      <c r="Q38" s="9" t="n">
        <v>471</v>
      </c>
      <c r="R38" s="10" t="n">
        <f aca="false">IF(Q38=0,999,O38/(Q38/7))</f>
        <v>10.8046709129512</v>
      </c>
      <c r="S38" s="5" t="s">
        <v>33</v>
      </c>
      <c r="T38" s="9" t="n">
        <v>15543</v>
      </c>
      <c r="U38" s="9" t="n">
        <v>163</v>
      </c>
      <c r="V38" s="6" t="n">
        <v>215.16</v>
      </c>
      <c r="W38" s="9" t="n">
        <v>50</v>
      </c>
      <c r="X38" s="6" t="n">
        <v>510</v>
      </c>
      <c r="Y38" s="6" t="n">
        <v>1.32</v>
      </c>
      <c r="Z38" s="7" t="n">
        <f aca="false">IF(T38=0,0,U38/T38)</f>
        <v>0.010487035964743</v>
      </c>
      <c r="AA38" s="7" t="n">
        <f aca="false">IF(X38=0,0,V38/X38)</f>
        <v>0.421882352941177</v>
      </c>
      <c r="AB38" s="11" t="n">
        <f aca="false">IF(V38=0,0,X38/V38)</f>
        <v>2.37032905744562</v>
      </c>
    </row>
    <row r="39" customFormat="false" ht="15" hidden="false" customHeight="false" outlineLevel="0" collapsed="false">
      <c r="A39" s="12" t="s">
        <v>144</v>
      </c>
      <c r="B39" s="12" t="s">
        <v>145</v>
      </c>
      <c r="C39" s="12" t="s">
        <v>125</v>
      </c>
      <c r="D39" s="12" t="s">
        <v>142</v>
      </c>
      <c r="E39" s="12" t="s">
        <v>143</v>
      </c>
      <c r="F39" s="13" t="n">
        <v>3.92</v>
      </c>
      <c r="G39" s="13" t="n">
        <v>4.38</v>
      </c>
      <c r="H39" s="14" t="n">
        <v>0.12</v>
      </c>
      <c r="I39" s="13" t="n">
        <v>15.7</v>
      </c>
      <c r="J39" s="13" t="n">
        <v>13.57</v>
      </c>
      <c r="K39" s="13" t="n">
        <v>13.74</v>
      </c>
      <c r="L39" s="15" t="b">
        <f aca="false">FALSE()</f>
        <v>0</v>
      </c>
      <c r="M39" s="16" t="n">
        <v>7</v>
      </c>
      <c r="N39" s="16" t="n">
        <v>71517</v>
      </c>
      <c r="O39" s="16" t="n">
        <v>2591</v>
      </c>
      <c r="P39" s="16" t="n">
        <v>1236</v>
      </c>
      <c r="Q39" s="16" t="n">
        <v>519</v>
      </c>
      <c r="R39" s="17" t="n">
        <f aca="false">IF(Q39=0,999,O39/(Q39/7))</f>
        <v>34.9460500963391</v>
      </c>
      <c r="S39" s="12" t="s">
        <v>33</v>
      </c>
      <c r="T39" s="16" t="n">
        <v>33316</v>
      </c>
      <c r="U39" s="16" t="n">
        <v>143</v>
      </c>
      <c r="V39" s="13" t="n">
        <v>98.67</v>
      </c>
      <c r="W39" s="16" t="n">
        <v>18</v>
      </c>
      <c r="X39" s="13" t="n">
        <v>282.6</v>
      </c>
      <c r="Y39" s="13" t="n">
        <v>0.69</v>
      </c>
      <c r="Z39" s="14" t="n">
        <f aca="false">IF(T39=0,0,U39/T39)</f>
        <v>0.00429223196061952</v>
      </c>
      <c r="AA39" s="14" t="n">
        <f aca="false">IF(X39=0,0,V39/X39)</f>
        <v>0.349150743099788</v>
      </c>
      <c r="AB39" s="18" t="n">
        <f aca="false">IF(V39=0,0,X39/V39)</f>
        <v>2.86409242930982</v>
      </c>
    </row>
    <row r="40" customFormat="false" ht="15" hidden="false" customHeight="false" outlineLevel="0" collapsed="false">
      <c r="A40" s="5" t="s">
        <v>146</v>
      </c>
      <c r="B40" s="5" t="s">
        <v>147</v>
      </c>
      <c r="C40" s="5" t="s">
        <v>125</v>
      </c>
      <c r="D40" s="5" t="s">
        <v>148</v>
      </c>
      <c r="E40" s="5" t="s">
        <v>143</v>
      </c>
      <c r="F40" s="6" t="n">
        <v>12.74</v>
      </c>
      <c r="G40" s="6" t="n">
        <v>6.44</v>
      </c>
      <c r="H40" s="7" t="n">
        <v>0.12</v>
      </c>
      <c r="I40" s="6" t="n">
        <v>56.96</v>
      </c>
      <c r="J40" s="6" t="n">
        <v>47.83</v>
      </c>
      <c r="K40" s="6" t="n">
        <v>48.87</v>
      </c>
      <c r="L40" s="8" t="b">
        <f aca="false">FALSE()</f>
        <v>0</v>
      </c>
      <c r="M40" s="9" t="n">
        <v>9</v>
      </c>
      <c r="N40" s="9" t="n">
        <v>170939</v>
      </c>
      <c r="O40" s="9" t="n">
        <v>4199</v>
      </c>
      <c r="P40" s="9" t="n">
        <v>186</v>
      </c>
      <c r="Q40" s="9" t="n">
        <v>459</v>
      </c>
      <c r="R40" s="10" t="n">
        <f aca="false">IF(Q40=0,999,O40/(Q40/7))</f>
        <v>64.037037037037</v>
      </c>
      <c r="S40" s="5" t="s">
        <v>33</v>
      </c>
      <c r="T40" s="9" t="n">
        <v>62105</v>
      </c>
      <c r="U40" s="9" t="n">
        <v>509</v>
      </c>
      <c r="V40" s="6" t="n">
        <v>432.65</v>
      </c>
      <c r="W40" s="9" t="n">
        <v>22</v>
      </c>
      <c r="X40" s="6" t="n">
        <v>1253.12</v>
      </c>
      <c r="Y40" s="6" t="n">
        <v>0.85</v>
      </c>
      <c r="Z40" s="7" t="n">
        <f aca="false">IF(T40=0,0,U40/T40)</f>
        <v>0.00819579743981966</v>
      </c>
      <c r="AA40" s="7" t="n">
        <f aca="false">IF(X40=0,0,V40/X40)</f>
        <v>0.345258235444331</v>
      </c>
      <c r="AB40" s="11" t="n">
        <f aca="false">IF(V40=0,0,X40/V40)</f>
        <v>2.89638275742517</v>
      </c>
    </row>
    <row r="41" customFormat="false" ht="15" hidden="false" customHeight="false" outlineLevel="0" collapsed="false">
      <c r="A41" s="12" t="s">
        <v>149</v>
      </c>
      <c r="B41" s="12" t="s">
        <v>150</v>
      </c>
      <c r="C41" s="12" t="s">
        <v>125</v>
      </c>
      <c r="D41" s="12" t="s">
        <v>142</v>
      </c>
      <c r="E41" s="12" t="s">
        <v>143</v>
      </c>
      <c r="F41" s="13" t="n">
        <v>12.54</v>
      </c>
      <c r="G41" s="13" t="n">
        <v>4.3</v>
      </c>
      <c r="H41" s="14" t="n">
        <v>0.15</v>
      </c>
      <c r="I41" s="13" t="n">
        <v>36.37</v>
      </c>
      <c r="J41" s="13" t="n">
        <v>36.37</v>
      </c>
      <c r="K41" s="13" t="n">
        <v>34.92</v>
      </c>
      <c r="L41" s="15" t="b">
        <f aca="false">TRUE()</f>
        <v>1</v>
      </c>
      <c r="M41" s="16" t="n">
        <v>12</v>
      </c>
      <c r="N41" s="16" t="n">
        <v>82598</v>
      </c>
      <c r="O41" s="16" t="n">
        <v>149</v>
      </c>
      <c r="P41" s="16" t="n">
        <v>1346</v>
      </c>
      <c r="Q41" s="16" t="n">
        <v>265</v>
      </c>
      <c r="R41" s="17" t="n">
        <f aca="false">IF(Q41=0,999,O41/(Q41/7))</f>
        <v>3.93584905660377</v>
      </c>
      <c r="S41" s="12" t="s">
        <v>33</v>
      </c>
      <c r="T41" s="16" t="n">
        <v>114449</v>
      </c>
      <c r="U41" s="16" t="n">
        <v>1202</v>
      </c>
      <c r="V41" s="13" t="n">
        <v>1165.94</v>
      </c>
      <c r="W41" s="16" t="n">
        <v>176</v>
      </c>
      <c r="X41" s="13" t="n">
        <v>6401.12</v>
      </c>
      <c r="Y41" s="13" t="n">
        <v>0.97</v>
      </c>
      <c r="Z41" s="14" t="n">
        <f aca="false">IF(T41=0,0,U41/T41)</f>
        <v>0.0105024945608961</v>
      </c>
      <c r="AA41" s="14" t="n">
        <f aca="false">IF(X41=0,0,V41/X41)</f>
        <v>0.182146249406354</v>
      </c>
      <c r="AB41" s="18" t="n">
        <f aca="false">IF(V41=0,0,X41/V41)</f>
        <v>5.49009382987118</v>
      </c>
    </row>
    <row r="42" customFormat="false" ht="15" hidden="false" customHeight="false" outlineLevel="0" collapsed="false">
      <c r="A42" s="5" t="s">
        <v>151</v>
      </c>
      <c r="B42" s="5" t="s">
        <v>152</v>
      </c>
      <c r="C42" s="5" t="s">
        <v>153</v>
      </c>
      <c r="D42" s="5" t="s">
        <v>154</v>
      </c>
      <c r="E42" s="5" t="s">
        <v>32</v>
      </c>
      <c r="F42" s="6" t="n">
        <v>18.52</v>
      </c>
      <c r="G42" s="6" t="n">
        <v>4.99</v>
      </c>
      <c r="H42" s="7" t="n">
        <v>0.08</v>
      </c>
      <c r="I42" s="6" t="n">
        <v>59.8</v>
      </c>
      <c r="J42" s="6" t="n">
        <v>59.8</v>
      </c>
      <c r="K42" s="6" t="n">
        <v>54.02</v>
      </c>
      <c r="L42" s="8" t="b">
        <f aca="false">TRUE()</f>
        <v>1</v>
      </c>
      <c r="M42" s="9" t="n">
        <v>3</v>
      </c>
      <c r="N42" s="9" t="n">
        <v>75655</v>
      </c>
      <c r="O42" s="9" t="n">
        <v>898</v>
      </c>
      <c r="P42" s="9" t="n">
        <v>1453</v>
      </c>
      <c r="Q42" s="9" t="n">
        <v>455</v>
      </c>
      <c r="R42" s="10" t="n">
        <f aca="false">IF(Q42=0,999,O42/(Q42/7))</f>
        <v>13.8153846153846</v>
      </c>
      <c r="S42" s="5" t="s">
        <v>33</v>
      </c>
      <c r="T42" s="9" t="n">
        <v>21258</v>
      </c>
      <c r="U42" s="9" t="n">
        <v>164</v>
      </c>
      <c r="V42" s="6" t="n">
        <v>60.68</v>
      </c>
      <c r="W42" s="9" t="n">
        <v>4</v>
      </c>
      <c r="X42" s="6" t="n">
        <v>239.2</v>
      </c>
      <c r="Y42" s="6" t="n">
        <v>0.37</v>
      </c>
      <c r="Z42" s="7" t="n">
        <f aca="false">IF(T42=0,0,U42/T42)</f>
        <v>0.00771474268510678</v>
      </c>
      <c r="AA42" s="7" t="n">
        <f aca="false">IF(X42=0,0,V42/X42)</f>
        <v>0.253678929765886</v>
      </c>
      <c r="AB42" s="11" t="n">
        <f aca="false">IF(V42=0,0,X42/V42)</f>
        <v>3.94199077125906</v>
      </c>
    </row>
    <row r="43" customFormat="false" ht="15" hidden="false" customHeight="false" outlineLevel="0" collapsed="false">
      <c r="A43" s="12" t="s">
        <v>155</v>
      </c>
      <c r="B43" s="12" t="s">
        <v>156</v>
      </c>
      <c r="C43" s="12" t="s">
        <v>153</v>
      </c>
      <c r="D43" s="12" t="s">
        <v>157</v>
      </c>
      <c r="E43" s="12" t="s">
        <v>32</v>
      </c>
      <c r="F43" s="13" t="n">
        <v>34.35</v>
      </c>
      <c r="G43" s="13" t="n">
        <v>10.19</v>
      </c>
      <c r="H43" s="14" t="n">
        <v>0.08</v>
      </c>
      <c r="I43" s="13" t="n">
        <v>89.37</v>
      </c>
      <c r="J43" s="13" t="n">
        <v>89.37</v>
      </c>
      <c r="K43" s="13" t="n">
        <v>90.84</v>
      </c>
      <c r="L43" s="15" t="b">
        <f aca="false">TRUE()</f>
        <v>1</v>
      </c>
      <c r="M43" s="16" t="n">
        <v>10</v>
      </c>
      <c r="N43" s="16" t="n">
        <v>76659</v>
      </c>
      <c r="O43" s="16" t="n">
        <v>4463</v>
      </c>
      <c r="P43" s="16" t="n">
        <v>1128</v>
      </c>
      <c r="Q43" s="16" t="n">
        <v>528</v>
      </c>
      <c r="R43" s="17" t="n">
        <f aca="false">IF(Q43=0,999,O43/(Q43/7))</f>
        <v>59.1685606060606</v>
      </c>
      <c r="S43" s="12" t="s">
        <v>40</v>
      </c>
      <c r="T43" s="16" t="n">
        <v>19458</v>
      </c>
      <c r="U43" s="16" t="n">
        <v>167</v>
      </c>
      <c r="V43" s="13" t="n">
        <v>288.91</v>
      </c>
      <c r="W43" s="16" t="n">
        <v>11</v>
      </c>
      <c r="X43" s="13" t="n">
        <v>983.07</v>
      </c>
      <c r="Y43" s="13" t="n">
        <v>1.73</v>
      </c>
      <c r="Z43" s="14" t="n">
        <f aca="false">IF(T43=0,0,U43/T43)</f>
        <v>0.00858258813855484</v>
      </c>
      <c r="AA43" s="14" t="n">
        <f aca="false">IF(X43=0,0,V43/X43)</f>
        <v>0.293885481196659</v>
      </c>
      <c r="AB43" s="18" t="n">
        <f aca="false">IF(V43=0,0,X43/V43)</f>
        <v>3.40268595756464</v>
      </c>
    </row>
    <row r="44" customFormat="false" ht="15" hidden="false" customHeight="false" outlineLevel="0" collapsed="false">
      <c r="A44" s="5" t="s">
        <v>158</v>
      </c>
      <c r="B44" s="5" t="s">
        <v>159</v>
      </c>
      <c r="C44" s="5" t="s">
        <v>153</v>
      </c>
      <c r="D44" s="5" t="s">
        <v>160</v>
      </c>
      <c r="E44" s="5" t="s">
        <v>32</v>
      </c>
      <c r="F44" s="6" t="n">
        <v>21.34</v>
      </c>
      <c r="G44" s="6" t="n">
        <v>6.56</v>
      </c>
      <c r="H44" s="7" t="n">
        <v>0.15</v>
      </c>
      <c r="I44" s="6" t="n">
        <v>79.11</v>
      </c>
      <c r="J44" s="6" t="n">
        <v>79.11</v>
      </c>
      <c r="K44" s="6" t="n">
        <v>82.03</v>
      </c>
      <c r="L44" s="8" t="b">
        <f aca="false">TRUE()</f>
        <v>1</v>
      </c>
      <c r="M44" s="9" t="n">
        <v>5</v>
      </c>
      <c r="N44" s="9" t="n">
        <v>822</v>
      </c>
      <c r="O44" s="9" t="n">
        <v>763</v>
      </c>
      <c r="P44" s="9" t="n">
        <v>914</v>
      </c>
      <c r="Q44" s="9" t="n">
        <v>296</v>
      </c>
      <c r="R44" s="10" t="n">
        <f aca="false">IF(Q44=0,999,O44/(Q44/7))</f>
        <v>18.0439189189189</v>
      </c>
      <c r="S44" s="5" t="s">
        <v>33</v>
      </c>
      <c r="T44" s="9" t="n">
        <v>71092</v>
      </c>
      <c r="U44" s="9" t="n">
        <v>697</v>
      </c>
      <c r="V44" s="6" t="n">
        <v>592.45</v>
      </c>
      <c r="W44" s="9" t="n">
        <v>20</v>
      </c>
      <c r="X44" s="6" t="n">
        <v>1582.2</v>
      </c>
      <c r="Y44" s="6" t="n">
        <v>0.85</v>
      </c>
      <c r="Z44" s="7" t="n">
        <f aca="false">IF(T44=0,0,U44/T44)</f>
        <v>0.00980419737804535</v>
      </c>
      <c r="AA44" s="7" t="n">
        <f aca="false">IF(X44=0,0,V44/X44)</f>
        <v>0.37444697256984</v>
      </c>
      <c r="AB44" s="11" t="n">
        <f aca="false">IF(V44=0,0,X44/V44)</f>
        <v>2.67060511435564</v>
      </c>
    </row>
    <row r="45" customFormat="false" ht="15" hidden="false" customHeight="false" outlineLevel="0" collapsed="false">
      <c r="A45" s="12" t="s">
        <v>161</v>
      </c>
      <c r="B45" s="12" t="s">
        <v>162</v>
      </c>
      <c r="C45" s="12" t="s">
        <v>153</v>
      </c>
      <c r="D45" s="12" t="s">
        <v>163</v>
      </c>
      <c r="E45" s="12" t="s">
        <v>32</v>
      </c>
      <c r="F45" s="13" t="n">
        <v>12.9</v>
      </c>
      <c r="G45" s="13" t="n">
        <v>3.85</v>
      </c>
      <c r="H45" s="14" t="n">
        <v>0.1</v>
      </c>
      <c r="I45" s="13" t="n">
        <v>46.42</v>
      </c>
      <c r="J45" s="13" t="n">
        <v>42</v>
      </c>
      <c r="K45" s="13" t="n">
        <v>43.01</v>
      </c>
      <c r="L45" s="15" t="b">
        <f aca="false">FALSE()</f>
        <v>0</v>
      </c>
      <c r="M45" s="16" t="n">
        <v>9</v>
      </c>
      <c r="N45" s="16" t="n">
        <v>83558</v>
      </c>
      <c r="O45" s="16" t="n">
        <v>1244</v>
      </c>
      <c r="P45" s="16" t="n">
        <v>1014</v>
      </c>
      <c r="Q45" s="16" t="n">
        <v>491</v>
      </c>
      <c r="R45" s="17" t="n">
        <f aca="false">IF(Q45=0,999,O45/(Q45/7))</f>
        <v>17.735234215886</v>
      </c>
      <c r="S45" s="12" t="s">
        <v>33</v>
      </c>
      <c r="T45" s="16" t="n">
        <v>5352</v>
      </c>
      <c r="U45" s="16" t="n">
        <v>29</v>
      </c>
      <c r="V45" s="13" t="n">
        <v>52.2</v>
      </c>
      <c r="W45" s="16" t="n">
        <v>5</v>
      </c>
      <c r="X45" s="13" t="n">
        <v>232.1</v>
      </c>
      <c r="Y45" s="13" t="n">
        <v>1.8</v>
      </c>
      <c r="Z45" s="14" t="n">
        <f aca="false">IF(T45=0,0,U45/T45)</f>
        <v>0.00541853512705531</v>
      </c>
      <c r="AA45" s="14" t="n">
        <f aca="false">IF(X45=0,0,V45/X45)</f>
        <v>0.224903059026282</v>
      </c>
      <c r="AB45" s="18" t="n">
        <f aca="false">IF(V45=0,0,X45/V45)</f>
        <v>4.4463601532567</v>
      </c>
    </row>
    <row r="46" customFormat="false" ht="15" hidden="false" customHeight="false" outlineLevel="0" collapsed="false">
      <c r="A46" s="5" t="s">
        <v>164</v>
      </c>
      <c r="B46" s="5" t="s">
        <v>165</v>
      </c>
      <c r="C46" s="5" t="s">
        <v>153</v>
      </c>
      <c r="D46" s="5" t="s">
        <v>166</v>
      </c>
      <c r="E46" s="5" t="s">
        <v>32</v>
      </c>
      <c r="F46" s="6" t="n">
        <v>23.92</v>
      </c>
      <c r="G46" s="6" t="n">
        <v>10.71</v>
      </c>
      <c r="H46" s="7" t="n">
        <v>0.15</v>
      </c>
      <c r="I46" s="6" t="n">
        <v>79.93</v>
      </c>
      <c r="J46" s="6" t="n">
        <v>79.93</v>
      </c>
      <c r="K46" s="6" t="n">
        <v>79.93</v>
      </c>
      <c r="L46" s="8" t="b">
        <f aca="false">TRUE()</f>
        <v>1</v>
      </c>
      <c r="M46" s="9" t="n">
        <v>0</v>
      </c>
      <c r="N46" s="9" t="n">
        <v>107623</v>
      </c>
      <c r="O46" s="9" t="n">
        <v>1501</v>
      </c>
      <c r="P46" s="9" t="n">
        <v>1330</v>
      </c>
      <c r="Q46" s="9" t="n">
        <v>165</v>
      </c>
      <c r="R46" s="10" t="n">
        <f aca="false">IF(Q46=0,999,O46/(Q46/7))</f>
        <v>63.6787878787879</v>
      </c>
      <c r="S46" s="5" t="s">
        <v>40</v>
      </c>
      <c r="T46" s="9" t="n">
        <v>11027</v>
      </c>
      <c r="U46" s="9" t="n">
        <v>157</v>
      </c>
      <c r="V46" s="6" t="n">
        <v>255.91</v>
      </c>
      <c r="W46" s="9" t="n">
        <v>8</v>
      </c>
      <c r="X46" s="6" t="n">
        <v>639.44</v>
      </c>
      <c r="Y46" s="6" t="n">
        <v>1.63</v>
      </c>
      <c r="Z46" s="7" t="n">
        <f aca="false">IF(T46=0,0,U46/T46)</f>
        <v>0.0142377799945588</v>
      </c>
      <c r="AA46" s="7" t="n">
        <f aca="false">IF(X46=0,0,V46/X46)</f>
        <v>0.400209558363568</v>
      </c>
      <c r="AB46" s="11" t="n">
        <f aca="false">IF(V46=0,0,X46/V46)</f>
        <v>2.49869094603572</v>
      </c>
    </row>
    <row r="47" customFormat="false" ht="15" hidden="false" customHeight="false" outlineLevel="0" collapsed="false">
      <c r="A47" s="12" t="s">
        <v>167</v>
      </c>
      <c r="B47" s="12" t="s">
        <v>168</v>
      </c>
      <c r="C47" s="12" t="s">
        <v>153</v>
      </c>
      <c r="D47" s="12" t="s">
        <v>163</v>
      </c>
      <c r="E47" s="12" t="s">
        <v>32</v>
      </c>
      <c r="F47" s="13" t="n">
        <v>28.73</v>
      </c>
      <c r="G47" s="13" t="n">
        <v>6.99</v>
      </c>
      <c r="H47" s="14" t="n">
        <v>0.15</v>
      </c>
      <c r="I47" s="13" t="n">
        <v>86.32</v>
      </c>
      <c r="J47" s="13" t="n">
        <v>86.32</v>
      </c>
      <c r="K47" s="13" t="n">
        <v>73.99</v>
      </c>
      <c r="L47" s="15" t="b">
        <f aca="false">TRUE()</f>
        <v>1</v>
      </c>
      <c r="M47" s="16" t="n">
        <v>8</v>
      </c>
      <c r="N47" s="16" t="n">
        <v>165605</v>
      </c>
      <c r="O47" s="16" t="n">
        <v>343</v>
      </c>
      <c r="P47" s="16" t="n">
        <v>908</v>
      </c>
      <c r="Q47" s="16" t="n">
        <v>301</v>
      </c>
      <c r="R47" s="17" t="n">
        <f aca="false">IF(Q47=0,999,O47/(Q47/7))</f>
        <v>7.97674418604651</v>
      </c>
      <c r="S47" s="12" t="s">
        <v>33</v>
      </c>
      <c r="T47" s="16" t="n">
        <v>22305</v>
      </c>
      <c r="U47" s="16" t="n">
        <v>274</v>
      </c>
      <c r="V47" s="13" t="n">
        <v>468.54</v>
      </c>
      <c r="W47" s="16" t="n">
        <v>40</v>
      </c>
      <c r="X47" s="13" t="n">
        <v>3452.8</v>
      </c>
      <c r="Y47" s="13" t="n">
        <v>1.71</v>
      </c>
      <c r="Z47" s="14" t="n">
        <f aca="false">IF(T47=0,0,U47/T47)</f>
        <v>0.0122842412015243</v>
      </c>
      <c r="AA47" s="14" t="n">
        <f aca="false">IF(X47=0,0,V47/X47)</f>
        <v>0.135698563484708</v>
      </c>
      <c r="AB47" s="18" t="n">
        <f aca="false">IF(V47=0,0,X47/V47)</f>
        <v>7.36927476842959</v>
      </c>
    </row>
    <row r="48" customFormat="false" ht="15" hidden="false" customHeight="false" outlineLevel="0" collapsed="false">
      <c r="A48" s="5" t="s">
        <v>169</v>
      </c>
      <c r="B48" s="5" t="s">
        <v>170</v>
      </c>
      <c r="C48" s="5" t="s">
        <v>153</v>
      </c>
      <c r="D48" s="5" t="s">
        <v>171</v>
      </c>
      <c r="E48" s="5" t="s">
        <v>172</v>
      </c>
      <c r="F48" s="6" t="n">
        <v>9.62</v>
      </c>
      <c r="G48" s="6" t="n">
        <v>3.66</v>
      </c>
      <c r="H48" s="7" t="n">
        <v>0.15</v>
      </c>
      <c r="I48" s="6" t="n">
        <v>33.46</v>
      </c>
      <c r="J48" s="6" t="n">
        <v>33.46</v>
      </c>
      <c r="K48" s="6" t="n">
        <v>33</v>
      </c>
      <c r="L48" s="8" t="b">
        <f aca="false">TRUE()</f>
        <v>1</v>
      </c>
      <c r="M48" s="9" t="n">
        <v>9</v>
      </c>
      <c r="N48" s="9" t="n">
        <v>46043</v>
      </c>
      <c r="O48" s="9" t="n">
        <v>156</v>
      </c>
      <c r="P48" s="9" t="n">
        <v>475</v>
      </c>
      <c r="Q48" s="9" t="n">
        <v>87</v>
      </c>
      <c r="R48" s="10" t="n">
        <f aca="false">IF(Q48=0,999,O48/(Q48/7))</f>
        <v>12.551724137931</v>
      </c>
      <c r="S48" s="5" t="s">
        <v>33</v>
      </c>
      <c r="T48" s="9" t="n">
        <v>60943</v>
      </c>
      <c r="U48" s="9" t="n">
        <v>713</v>
      </c>
      <c r="V48" s="6" t="n">
        <v>741.52</v>
      </c>
      <c r="W48" s="9" t="n">
        <v>65</v>
      </c>
      <c r="X48" s="6" t="n">
        <v>2174.9</v>
      </c>
      <c r="Y48" s="6" t="n">
        <v>1.04</v>
      </c>
      <c r="Z48" s="7" t="n">
        <f aca="false">IF(T48=0,0,U48/T48)</f>
        <v>0.0116994568695338</v>
      </c>
      <c r="AA48" s="7" t="n">
        <f aca="false">IF(X48=0,0,V48/X48)</f>
        <v>0.340944411237298</v>
      </c>
      <c r="AB48" s="11" t="n">
        <f aca="false">IF(V48=0,0,X48/V48)</f>
        <v>2.93302945301543</v>
      </c>
    </row>
    <row r="49" customFormat="false" ht="15" hidden="false" customHeight="false" outlineLevel="0" collapsed="false">
      <c r="A49" s="12" t="s">
        <v>173</v>
      </c>
      <c r="B49" s="12" t="s">
        <v>174</v>
      </c>
      <c r="C49" s="12" t="s">
        <v>153</v>
      </c>
      <c r="D49" s="12" t="s">
        <v>175</v>
      </c>
      <c r="E49" s="12" t="s">
        <v>172</v>
      </c>
      <c r="F49" s="13" t="n">
        <v>28.07</v>
      </c>
      <c r="G49" s="13" t="n">
        <v>3.71</v>
      </c>
      <c r="H49" s="14" t="n">
        <v>0.15</v>
      </c>
      <c r="I49" s="13" t="n">
        <v>82.09</v>
      </c>
      <c r="J49" s="13" t="n">
        <v>82.09</v>
      </c>
      <c r="K49" s="13" t="n">
        <v>85.99</v>
      </c>
      <c r="L49" s="15" t="b">
        <f aca="false">TRUE()</f>
        <v>1</v>
      </c>
      <c r="M49" s="16" t="n">
        <v>5</v>
      </c>
      <c r="N49" s="16" t="n">
        <v>111380</v>
      </c>
      <c r="O49" s="16" t="n">
        <v>178</v>
      </c>
      <c r="P49" s="16" t="n">
        <v>485</v>
      </c>
      <c r="Q49" s="16" t="n">
        <v>263</v>
      </c>
      <c r="R49" s="17" t="n">
        <f aca="false">IF(Q49=0,999,O49/(Q49/7))</f>
        <v>4.73764258555133</v>
      </c>
      <c r="S49" s="12" t="s">
        <v>33</v>
      </c>
      <c r="T49" s="16" t="n">
        <v>50486</v>
      </c>
      <c r="U49" s="16" t="n">
        <v>550</v>
      </c>
      <c r="V49" s="13" t="n">
        <v>665.5</v>
      </c>
      <c r="W49" s="16" t="n">
        <v>18</v>
      </c>
      <c r="X49" s="13" t="n">
        <v>1477.62</v>
      </c>
      <c r="Y49" s="13" t="n">
        <v>1.21</v>
      </c>
      <c r="Z49" s="14" t="n">
        <f aca="false">IF(T49=0,0,U49/T49)</f>
        <v>0.0108941092580121</v>
      </c>
      <c r="AA49" s="14" t="n">
        <f aca="false">IF(X49=0,0,V49/X49)</f>
        <v>0.450386432235622</v>
      </c>
      <c r="AB49" s="18" t="n">
        <f aca="false">IF(V49=0,0,X49/V49)</f>
        <v>2.22031555221638</v>
      </c>
    </row>
    <row r="50" customFormat="false" ht="15" hidden="false" customHeight="false" outlineLevel="0" collapsed="false">
      <c r="A50" s="5" t="s">
        <v>176</v>
      </c>
      <c r="B50" s="5" t="s">
        <v>177</v>
      </c>
      <c r="C50" s="5" t="s">
        <v>153</v>
      </c>
      <c r="D50" s="5" t="s">
        <v>178</v>
      </c>
      <c r="E50" s="5" t="s">
        <v>172</v>
      </c>
      <c r="F50" s="6" t="n">
        <v>4.34</v>
      </c>
      <c r="G50" s="6" t="n">
        <v>4.78</v>
      </c>
      <c r="H50" s="7" t="n">
        <v>0.08</v>
      </c>
      <c r="I50" s="6" t="n">
        <v>11.75</v>
      </c>
      <c r="J50" s="6" t="n">
        <v>11.74</v>
      </c>
      <c r="K50" s="6" t="n">
        <v>12.02</v>
      </c>
      <c r="L50" s="8" t="b">
        <f aca="false">FALSE()</f>
        <v>0</v>
      </c>
      <c r="M50" s="9" t="n">
        <v>9</v>
      </c>
      <c r="N50" s="9" t="n">
        <v>159115</v>
      </c>
      <c r="O50" s="9" t="n">
        <v>2898</v>
      </c>
      <c r="P50" s="9" t="n">
        <v>448</v>
      </c>
      <c r="Q50" s="9" t="n">
        <v>515</v>
      </c>
      <c r="R50" s="10" t="n">
        <f aca="false">IF(Q50=0,999,O50/(Q50/7))</f>
        <v>39.3902912621359</v>
      </c>
      <c r="S50" s="5" t="s">
        <v>33</v>
      </c>
      <c r="T50" s="9" t="n">
        <v>83942</v>
      </c>
      <c r="U50" s="9" t="n">
        <v>529</v>
      </c>
      <c r="V50" s="6" t="n">
        <v>386.17</v>
      </c>
      <c r="W50" s="9" t="n">
        <v>89</v>
      </c>
      <c r="X50" s="6" t="n">
        <v>1045.75</v>
      </c>
      <c r="Y50" s="6" t="n">
        <v>0.73</v>
      </c>
      <c r="Z50" s="7" t="n">
        <f aca="false">IF(T50=0,0,U50/T50)</f>
        <v>0.00630197040813895</v>
      </c>
      <c r="AA50" s="7" t="n">
        <f aca="false">IF(X50=0,0,V50/X50)</f>
        <v>0.369275639493187</v>
      </c>
      <c r="AB50" s="11" t="n">
        <f aca="false">IF(V50=0,0,X50/V50)</f>
        <v>2.7080042468343</v>
      </c>
    </row>
    <row r="51" customFormat="false" ht="15" hidden="false" customHeight="false" outlineLevel="0" collapsed="false">
      <c r="A51" s="12" t="s">
        <v>179</v>
      </c>
      <c r="B51" s="12" t="s">
        <v>180</v>
      </c>
      <c r="C51" s="12" t="s">
        <v>153</v>
      </c>
      <c r="D51" s="12" t="s">
        <v>181</v>
      </c>
      <c r="E51" s="12" t="s">
        <v>172</v>
      </c>
      <c r="F51" s="13" t="n">
        <v>23.05</v>
      </c>
      <c r="G51" s="13" t="n">
        <v>5.91</v>
      </c>
      <c r="H51" s="14" t="n">
        <v>0.12</v>
      </c>
      <c r="I51" s="13" t="n">
        <v>60.25</v>
      </c>
      <c r="J51" s="13" t="n">
        <v>60.25</v>
      </c>
      <c r="K51" s="13" t="n">
        <v>56.52</v>
      </c>
      <c r="L51" s="15" t="b">
        <f aca="false">TRUE()</f>
        <v>1</v>
      </c>
      <c r="M51" s="16" t="n">
        <v>12</v>
      </c>
      <c r="N51" s="16" t="n">
        <v>34598</v>
      </c>
      <c r="O51" s="16" t="n">
        <v>430</v>
      </c>
      <c r="P51" s="16" t="n">
        <v>1087</v>
      </c>
      <c r="Q51" s="16" t="n">
        <v>99</v>
      </c>
      <c r="R51" s="17" t="n">
        <f aca="false">IF(Q51=0,999,O51/(Q51/7))</f>
        <v>30.4040404040404</v>
      </c>
      <c r="S51" s="12" t="s">
        <v>33</v>
      </c>
      <c r="T51" s="16" t="n">
        <v>66271</v>
      </c>
      <c r="U51" s="16" t="n">
        <v>994</v>
      </c>
      <c r="V51" s="13" t="n">
        <v>1590.4</v>
      </c>
      <c r="W51" s="16" t="n">
        <v>129</v>
      </c>
      <c r="X51" s="13" t="n">
        <v>7772.25</v>
      </c>
      <c r="Y51" s="13" t="n">
        <v>1.6</v>
      </c>
      <c r="Z51" s="14" t="n">
        <f aca="false">IF(T51=0,0,U51/T51)</f>
        <v>0.0149990191788263</v>
      </c>
      <c r="AA51" s="14" t="n">
        <f aca="false">IF(X51=0,0,V51/X51)</f>
        <v>0.204625430216475</v>
      </c>
      <c r="AB51" s="18" t="n">
        <f aca="false">IF(V51=0,0,X51/V51)</f>
        <v>4.88697811871227</v>
      </c>
    </row>
    <row r="52" customFormat="false" ht="15" hidden="false" customHeight="false" outlineLevel="0" collapsed="false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53</v>
      </c>
      <c r="F52" s="6" t="n">
        <v>23.87</v>
      </c>
      <c r="G52" s="6" t="n">
        <v>6.92</v>
      </c>
      <c r="H52" s="7" t="n">
        <v>0.08</v>
      </c>
      <c r="I52" s="6" t="n">
        <v>87.38</v>
      </c>
      <c r="J52" s="6" t="n">
        <v>87.38</v>
      </c>
      <c r="K52" s="6" t="n">
        <v>91.1</v>
      </c>
      <c r="L52" s="8" t="b">
        <f aca="false">TRUE()</f>
        <v>1</v>
      </c>
      <c r="M52" s="9" t="n">
        <v>7</v>
      </c>
      <c r="N52" s="9" t="n">
        <v>59293</v>
      </c>
      <c r="O52" s="9" t="n">
        <v>460</v>
      </c>
      <c r="P52" s="9" t="n">
        <v>541</v>
      </c>
      <c r="Q52" s="9" t="n">
        <v>413</v>
      </c>
      <c r="R52" s="10" t="n">
        <f aca="false">IF(Q52=0,999,O52/(Q52/7))</f>
        <v>7.79661016949153</v>
      </c>
      <c r="S52" s="5" t="s">
        <v>33</v>
      </c>
      <c r="T52" s="9" t="n">
        <v>70829</v>
      </c>
      <c r="U52" s="9" t="n">
        <v>390</v>
      </c>
      <c r="V52" s="6" t="n">
        <v>351</v>
      </c>
      <c r="W52" s="9" t="n">
        <v>11</v>
      </c>
      <c r="X52" s="6" t="n">
        <v>961.18</v>
      </c>
      <c r="Y52" s="6" t="n">
        <v>0.9</v>
      </c>
      <c r="Z52" s="7" t="n">
        <f aca="false">IF(T52=0,0,U52/T52)</f>
        <v>0.00550621920399836</v>
      </c>
      <c r="AA52" s="7" t="n">
        <f aca="false">IF(X52=0,0,V52/X52)</f>
        <v>0.365176137664121</v>
      </c>
      <c r="AB52" s="11" t="n">
        <f aca="false">IF(V52=0,0,X52/V52)</f>
        <v>2.73840455840456</v>
      </c>
    </row>
    <row r="53" customFormat="false" ht="15" hidden="false" customHeight="false" outlineLevel="0" collapsed="false">
      <c r="A53" s="12" t="s">
        <v>186</v>
      </c>
      <c r="B53" s="12" t="s">
        <v>187</v>
      </c>
      <c r="C53" s="12" t="s">
        <v>184</v>
      </c>
      <c r="D53" s="12" t="s">
        <v>188</v>
      </c>
      <c r="E53" s="12" t="s">
        <v>53</v>
      </c>
      <c r="F53" s="13" t="n">
        <v>20.89</v>
      </c>
      <c r="G53" s="13" t="n">
        <v>7.23</v>
      </c>
      <c r="H53" s="14" t="n">
        <v>0.08</v>
      </c>
      <c r="I53" s="13" t="n">
        <v>56.75</v>
      </c>
      <c r="J53" s="13" t="n">
        <v>56.75</v>
      </c>
      <c r="K53" s="13" t="n">
        <v>50.89</v>
      </c>
      <c r="L53" s="15" t="b">
        <f aca="false">TRUE()</f>
        <v>1</v>
      </c>
      <c r="M53" s="16" t="n">
        <v>10</v>
      </c>
      <c r="N53" s="16" t="n">
        <v>147319</v>
      </c>
      <c r="O53" s="16" t="n">
        <v>1054</v>
      </c>
      <c r="P53" s="16" t="n">
        <v>1329</v>
      </c>
      <c r="Q53" s="16" t="n">
        <v>342</v>
      </c>
      <c r="R53" s="17" t="n">
        <f aca="false">IF(Q53=0,999,O53/(Q53/7))</f>
        <v>21.5730994152047</v>
      </c>
      <c r="S53" s="12" t="s">
        <v>33</v>
      </c>
      <c r="T53" s="16" t="n">
        <v>54016</v>
      </c>
      <c r="U53" s="16" t="n">
        <v>292</v>
      </c>
      <c r="V53" s="13" t="n">
        <v>122.64</v>
      </c>
      <c r="W53" s="16" t="n">
        <v>16</v>
      </c>
      <c r="X53" s="13" t="n">
        <v>908</v>
      </c>
      <c r="Y53" s="13" t="n">
        <v>0.42</v>
      </c>
      <c r="Z53" s="14" t="n">
        <f aca="false">IF(T53=0,0,U53/T53)</f>
        <v>0.00540580568720379</v>
      </c>
      <c r="AA53" s="14" t="n">
        <f aca="false">IF(X53=0,0,V53/X53)</f>
        <v>0.135066079295154</v>
      </c>
      <c r="AB53" s="18" t="n">
        <f aca="false">IF(V53=0,0,X53/V53)</f>
        <v>7.40378343118069</v>
      </c>
    </row>
    <row r="54" customFormat="false" ht="15" hidden="false" customHeight="false" outlineLevel="0" collapsed="false">
      <c r="A54" s="5" t="s">
        <v>189</v>
      </c>
      <c r="B54" s="5" t="s">
        <v>190</v>
      </c>
      <c r="C54" s="5" t="s">
        <v>184</v>
      </c>
      <c r="D54" s="5" t="s">
        <v>185</v>
      </c>
      <c r="E54" s="5" t="s">
        <v>53</v>
      </c>
      <c r="F54" s="6" t="n">
        <v>5.06</v>
      </c>
      <c r="G54" s="6" t="n">
        <v>5.42</v>
      </c>
      <c r="H54" s="7" t="n">
        <v>0.15</v>
      </c>
      <c r="I54" s="6" t="n">
        <v>19.28</v>
      </c>
      <c r="J54" s="6" t="n">
        <v>17.6</v>
      </c>
      <c r="K54" s="6" t="n">
        <v>17.82</v>
      </c>
      <c r="L54" s="8" t="b">
        <f aca="false">FALSE()</f>
        <v>0</v>
      </c>
      <c r="M54" s="9" t="n">
        <v>7</v>
      </c>
      <c r="N54" s="9" t="n">
        <v>141758</v>
      </c>
      <c r="O54" s="9" t="n">
        <v>4027</v>
      </c>
      <c r="P54" s="9" t="n">
        <v>1260</v>
      </c>
      <c r="Q54" s="9" t="n">
        <v>436</v>
      </c>
      <c r="R54" s="10" t="n">
        <f aca="false">IF(Q54=0,999,O54/(Q54/7))</f>
        <v>64.6536697247706</v>
      </c>
      <c r="S54" s="5" t="s">
        <v>33</v>
      </c>
      <c r="T54" s="9" t="n">
        <v>53992</v>
      </c>
      <c r="U54" s="9" t="n">
        <v>826</v>
      </c>
      <c r="V54" s="6" t="n">
        <v>636.02</v>
      </c>
      <c r="W54" s="9" t="n">
        <v>95</v>
      </c>
      <c r="X54" s="6" t="n">
        <v>1831.6</v>
      </c>
      <c r="Y54" s="6" t="n">
        <v>0.77</v>
      </c>
      <c r="Z54" s="7" t="n">
        <f aca="false">IF(T54=0,0,U54/T54)</f>
        <v>0.015298562750037</v>
      </c>
      <c r="AA54" s="7" t="n">
        <f aca="false">IF(X54=0,0,V54/X54)</f>
        <v>0.347248307490719</v>
      </c>
      <c r="AB54" s="11" t="n">
        <f aca="false">IF(V54=0,0,X54/V54)</f>
        <v>2.87978365460206</v>
      </c>
    </row>
    <row r="55" customFormat="false" ht="15" hidden="false" customHeight="false" outlineLevel="0" collapsed="false">
      <c r="A55" s="12" t="s">
        <v>191</v>
      </c>
      <c r="B55" s="12" t="s">
        <v>192</v>
      </c>
      <c r="C55" s="12" t="s">
        <v>184</v>
      </c>
      <c r="D55" s="12" t="s">
        <v>193</v>
      </c>
      <c r="E55" s="12" t="s">
        <v>53</v>
      </c>
      <c r="F55" s="13" t="n">
        <v>17.78</v>
      </c>
      <c r="G55" s="13" t="n">
        <v>6.85</v>
      </c>
      <c r="H55" s="14" t="n">
        <v>0.08</v>
      </c>
      <c r="I55" s="13" t="n">
        <v>45.46</v>
      </c>
      <c r="J55" s="13" t="n">
        <v>41.38</v>
      </c>
      <c r="K55" s="13" t="n">
        <v>41.98</v>
      </c>
      <c r="L55" s="15" t="b">
        <f aca="false">FALSE()</f>
        <v>0</v>
      </c>
      <c r="M55" s="16" t="n">
        <v>10</v>
      </c>
      <c r="N55" s="16" t="n">
        <v>16022</v>
      </c>
      <c r="O55" s="16" t="n">
        <v>216</v>
      </c>
      <c r="P55" s="16" t="n">
        <v>1357</v>
      </c>
      <c r="Q55" s="16" t="n">
        <v>414</v>
      </c>
      <c r="R55" s="17" t="n">
        <f aca="false">IF(Q55=0,999,O55/(Q55/7))</f>
        <v>3.65217391304348</v>
      </c>
      <c r="S55" s="12" t="s">
        <v>33</v>
      </c>
      <c r="T55" s="16" t="n">
        <v>28301</v>
      </c>
      <c r="U55" s="16" t="n">
        <v>331</v>
      </c>
      <c r="V55" s="13" t="n">
        <v>413.75</v>
      </c>
      <c r="W55" s="16" t="n">
        <v>72</v>
      </c>
      <c r="X55" s="13" t="n">
        <v>3273.12</v>
      </c>
      <c r="Y55" s="13" t="n">
        <v>1.25</v>
      </c>
      <c r="Z55" s="14" t="n">
        <f aca="false">IF(T55=0,0,U55/T55)</f>
        <v>0.0116956997985937</v>
      </c>
      <c r="AA55" s="14" t="n">
        <f aca="false">IF(X55=0,0,V55/X55)</f>
        <v>0.126408442098059</v>
      </c>
      <c r="AB55" s="18" t="n">
        <f aca="false">IF(V55=0,0,X55/V55)</f>
        <v>7.91086404833837</v>
      </c>
    </row>
    <row r="56" customFormat="false" ht="15" hidden="false" customHeight="false" outlineLevel="0" collapsed="false">
      <c r="A56" s="5" t="s">
        <v>194</v>
      </c>
      <c r="B56" s="5" t="s">
        <v>195</v>
      </c>
      <c r="C56" s="5" t="s">
        <v>184</v>
      </c>
      <c r="D56" s="5" t="s">
        <v>196</v>
      </c>
      <c r="E56" s="5" t="s">
        <v>53</v>
      </c>
      <c r="F56" s="6" t="n">
        <v>7.15</v>
      </c>
      <c r="G56" s="6" t="n">
        <v>5.54</v>
      </c>
      <c r="H56" s="7" t="n">
        <v>0.08</v>
      </c>
      <c r="I56" s="6" t="n">
        <v>29.48</v>
      </c>
      <c r="J56" s="6" t="n">
        <v>29.48</v>
      </c>
      <c r="K56" s="6" t="n">
        <v>28.33</v>
      </c>
      <c r="L56" s="8" t="b">
        <f aca="false">TRUE()</f>
        <v>1</v>
      </c>
      <c r="M56" s="9" t="n">
        <v>12</v>
      </c>
      <c r="N56" s="9" t="n">
        <v>61229</v>
      </c>
      <c r="O56" s="9" t="n">
        <v>856</v>
      </c>
      <c r="P56" s="9" t="n">
        <v>266</v>
      </c>
      <c r="Q56" s="9" t="n">
        <v>343</v>
      </c>
      <c r="R56" s="10" t="n">
        <f aca="false">IF(Q56=0,999,O56/(Q56/7))</f>
        <v>17.469387755102</v>
      </c>
      <c r="S56" s="5" t="s">
        <v>33</v>
      </c>
      <c r="T56" s="9" t="n">
        <v>71307</v>
      </c>
      <c r="U56" s="9" t="n">
        <v>499</v>
      </c>
      <c r="V56" s="6" t="n">
        <v>304.39</v>
      </c>
      <c r="W56" s="9" t="n">
        <v>31</v>
      </c>
      <c r="X56" s="6" t="n">
        <v>913.88</v>
      </c>
      <c r="Y56" s="6" t="n">
        <v>0.61</v>
      </c>
      <c r="Z56" s="7" t="n">
        <f aca="false">IF(T56=0,0,U56/T56)</f>
        <v>0.00699791044357496</v>
      </c>
      <c r="AA56" s="7" t="n">
        <f aca="false">IF(X56=0,0,V56/X56)</f>
        <v>0.333074364249136</v>
      </c>
      <c r="AB56" s="11" t="n">
        <f aca="false">IF(V56=0,0,X56/V56)</f>
        <v>3.0023325339203</v>
      </c>
    </row>
    <row r="57" customFormat="false" ht="15" hidden="false" customHeight="false" outlineLevel="0" collapsed="false">
      <c r="A57" s="12" t="s">
        <v>197</v>
      </c>
      <c r="B57" s="12" t="s">
        <v>198</v>
      </c>
      <c r="C57" s="12" t="s">
        <v>184</v>
      </c>
      <c r="D57" s="12" t="s">
        <v>199</v>
      </c>
      <c r="E57" s="12" t="s">
        <v>53</v>
      </c>
      <c r="F57" s="13" t="n">
        <v>5.84</v>
      </c>
      <c r="G57" s="13" t="n">
        <v>6.55</v>
      </c>
      <c r="H57" s="14" t="n">
        <v>0.12</v>
      </c>
      <c r="I57" s="13" t="n">
        <v>20.53</v>
      </c>
      <c r="J57" s="13" t="n">
        <v>20.53</v>
      </c>
      <c r="K57" s="13" t="n">
        <v>20.53</v>
      </c>
      <c r="L57" s="15" t="b">
        <f aca="false">TRUE()</f>
        <v>1</v>
      </c>
      <c r="M57" s="16" t="n">
        <v>0</v>
      </c>
      <c r="N57" s="16" t="n">
        <v>13886</v>
      </c>
      <c r="O57" s="16" t="n">
        <v>751</v>
      </c>
      <c r="P57" s="16" t="n">
        <v>1051</v>
      </c>
      <c r="Q57" s="16" t="n">
        <v>136</v>
      </c>
      <c r="R57" s="17" t="n">
        <f aca="false">IF(Q57=0,999,O57/(Q57/7))</f>
        <v>38.6544117647059</v>
      </c>
      <c r="S57" s="12" t="s">
        <v>33</v>
      </c>
      <c r="T57" s="16" t="n">
        <v>78312</v>
      </c>
      <c r="U57" s="16" t="n">
        <v>415</v>
      </c>
      <c r="V57" s="13" t="n">
        <v>460.65</v>
      </c>
      <c r="W57" s="16" t="n">
        <v>52</v>
      </c>
      <c r="X57" s="13" t="n">
        <v>1067.56</v>
      </c>
      <c r="Y57" s="13" t="n">
        <v>1.11</v>
      </c>
      <c r="Z57" s="14" t="n">
        <f aca="false">IF(T57=0,0,U57/T57)</f>
        <v>0.0052993155582797</v>
      </c>
      <c r="AA57" s="14" t="n">
        <f aca="false">IF(X57=0,0,V57/X57)</f>
        <v>0.431497995428828</v>
      </c>
      <c r="AB57" s="18" t="n">
        <f aca="false">IF(V57=0,0,X57/V57)</f>
        <v>2.3175078693151</v>
      </c>
    </row>
    <row r="58" customFormat="false" ht="15" hidden="false" customHeight="false" outlineLevel="0" collapsed="false">
      <c r="A58" s="5" t="s">
        <v>200</v>
      </c>
      <c r="B58" s="5" t="s">
        <v>201</v>
      </c>
      <c r="C58" s="5" t="s">
        <v>184</v>
      </c>
      <c r="D58" s="5" t="s">
        <v>202</v>
      </c>
      <c r="E58" s="5" t="s">
        <v>203</v>
      </c>
      <c r="F58" s="6" t="n">
        <v>26.15</v>
      </c>
      <c r="G58" s="6" t="n">
        <v>5.97</v>
      </c>
      <c r="H58" s="7" t="n">
        <v>0.12</v>
      </c>
      <c r="I58" s="6" t="n">
        <v>68.17</v>
      </c>
      <c r="J58" s="6" t="n">
        <v>68.17</v>
      </c>
      <c r="K58" s="6" t="n">
        <v>66.72</v>
      </c>
      <c r="L58" s="8" t="b">
        <f aca="false">TRUE()</f>
        <v>1</v>
      </c>
      <c r="M58" s="9" t="n">
        <v>7</v>
      </c>
      <c r="N58" s="9" t="n">
        <v>125712</v>
      </c>
      <c r="O58" s="9" t="n">
        <v>272</v>
      </c>
      <c r="P58" s="9" t="n">
        <v>659</v>
      </c>
      <c r="Q58" s="9" t="n">
        <v>418</v>
      </c>
      <c r="R58" s="10" t="n">
        <f aca="false">IF(Q58=0,999,O58/(Q58/7))</f>
        <v>4.55502392344498</v>
      </c>
      <c r="S58" s="5" t="s">
        <v>33</v>
      </c>
      <c r="T58" s="9" t="n">
        <v>80230</v>
      </c>
      <c r="U58" s="9" t="n">
        <v>465</v>
      </c>
      <c r="V58" s="6" t="n">
        <v>251.1</v>
      </c>
      <c r="W58" s="9" t="n">
        <v>11</v>
      </c>
      <c r="X58" s="6" t="n">
        <v>749.87</v>
      </c>
      <c r="Y58" s="6" t="n">
        <v>0.54</v>
      </c>
      <c r="Z58" s="7" t="n">
        <f aca="false">IF(T58=0,0,U58/T58)</f>
        <v>0.00579583696871495</v>
      </c>
      <c r="AA58" s="7" t="n">
        <f aca="false">IF(X58=0,0,V58/X58)</f>
        <v>0.334858042060624</v>
      </c>
      <c r="AB58" s="11" t="n">
        <f aca="false">IF(V58=0,0,X58/V58)</f>
        <v>2.98634010354441</v>
      </c>
    </row>
    <row r="59" customFormat="false" ht="15" hidden="false" customHeight="false" outlineLevel="0" collapsed="false">
      <c r="A59" s="12" t="s">
        <v>204</v>
      </c>
      <c r="B59" s="12" t="s">
        <v>205</v>
      </c>
      <c r="C59" s="12" t="s">
        <v>184</v>
      </c>
      <c r="D59" s="12" t="s">
        <v>206</v>
      </c>
      <c r="E59" s="12" t="s">
        <v>203</v>
      </c>
      <c r="F59" s="13" t="n">
        <v>15</v>
      </c>
      <c r="G59" s="13" t="n">
        <v>7.48</v>
      </c>
      <c r="H59" s="14" t="n">
        <v>0.12</v>
      </c>
      <c r="I59" s="13" t="n">
        <v>53.86</v>
      </c>
      <c r="J59" s="13" t="n">
        <v>53.86</v>
      </c>
      <c r="K59" s="13" t="n">
        <v>51.23</v>
      </c>
      <c r="L59" s="15" t="b">
        <f aca="false">TRUE()</f>
        <v>1</v>
      </c>
      <c r="M59" s="16" t="n">
        <v>7</v>
      </c>
      <c r="N59" s="16" t="n">
        <v>30142</v>
      </c>
      <c r="O59" s="16" t="n">
        <v>2552</v>
      </c>
      <c r="P59" s="16" t="n">
        <v>928</v>
      </c>
      <c r="Q59" s="16" t="n">
        <v>571</v>
      </c>
      <c r="R59" s="17" t="n">
        <f aca="false">IF(Q59=0,999,O59/(Q59/7))</f>
        <v>31.2854640980736</v>
      </c>
      <c r="S59" s="12" t="s">
        <v>33</v>
      </c>
      <c r="T59" s="16" t="n">
        <v>52762</v>
      </c>
      <c r="U59" s="16" t="n">
        <v>475</v>
      </c>
      <c r="V59" s="13" t="n">
        <v>232.75</v>
      </c>
      <c r="W59" s="16" t="n">
        <v>17</v>
      </c>
      <c r="X59" s="13" t="n">
        <v>915.62</v>
      </c>
      <c r="Y59" s="13" t="n">
        <v>0.49</v>
      </c>
      <c r="Z59" s="14" t="n">
        <f aca="false">IF(T59=0,0,U59/T59)</f>
        <v>0.00900269133088207</v>
      </c>
      <c r="AA59" s="14" t="n">
        <f aca="false">IF(X59=0,0,V59/X59)</f>
        <v>0.254199340337695</v>
      </c>
      <c r="AB59" s="18" t="n">
        <f aca="false">IF(V59=0,0,X59/V59)</f>
        <v>3.93392051557465</v>
      </c>
    </row>
    <row r="60" customFormat="false" ht="15" hidden="false" customHeight="false" outlineLevel="0" collapsed="false">
      <c r="A60" s="5" t="s">
        <v>207</v>
      </c>
      <c r="B60" s="5" t="s">
        <v>208</v>
      </c>
      <c r="C60" s="5" t="s">
        <v>184</v>
      </c>
      <c r="D60" s="5" t="s">
        <v>209</v>
      </c>
      <c r="E60" s="5" t="s">
        <v>203</v>
      </c>
      <c r="F60" s="6" t="n">
        <v>9.88</v>
      </c>
      <c r="G60" s="6" t="n">
        <v>7.15</v>
      </c>
      <c r="H60" s="7" t="n">
        <v>0.08</v>
      </c>
      <c r="I60" s="6" t="n">
        <v>39.93</v>
      </c>
      <c r="J60" s="6" t="n">
        <v>39.93</v>
      </c>
      <c r="K60" s="6" t="n">
        <v>40.58</v>
      </c>
      <c r="L60" s="8" t="b">
        <f aca="false">TRUE()</f>
        <v>1</v>
      </c>
      <c r="M60" s="9" t="n">
        <v>1</v>
      </c>
      <c r="N60" s="9" t="n">
        <v>25463</v>
      </c>
      <c r="O60" s="9" t="n">
        <v>1921</v>
      </c>
      <c r="P60" s="9" t="n">
        <v>1372</v>
      </c>
      <c r="Q60" s="9" t="n">
        <v>388</v>
      </c>
      <c r="R60" s="10" t="n">
        <f aca="false">IF(Q60=0,999,O60/(Q60/7))</f>
        <v>34.6572164948454</v>
      </c>
      <c r="S60" s="5" t="s">
        <v>33</v>
      </c>
      <c r="T60" s="9" t="n">
        <v>16521</v>
      </c>
      <c r="U60" s="9" t="n">
        <v>147</v>
      </c>
      <c r="V60" s="6" t="n">
        <v>244.02</v>
      </c>
      <c r="W60" s="9" t="n">
        <v>14</v>
      </c>
      <c r="X60" s="6" t="n">
        <v>559.02</v>
      </c>
      <c r="Y60" s="6" t="n">
        <v>1.66</v>
      </c>
      <c r="Z60" s="7" t="n">
        <f aca="false">IF(T60=0,0,U60/T60)</f>
        <v>0.00889776647902669</v>
      </c>
      <c r="AA60" s="7" t="n">
        <f aca="false">IF(X60=0,0,V60/X60)</f>
        <v>0.436513899323817</v>
      </c>
      <c r="AB60" s="11" t="n">
        <f aca="false">IF(V60=0,0,X60/V60)</f>
        <v>2.29087779690189</v>
      </c>
    </row>
    <row r="61" customFormat="false" ht="15" hidden="false" customHeight="false" outlineLevel="0" collapsed="false">
      <c r="A61" s="12" t="s">
        <v>210</v>
      </c>
      <c r="B61" s="12" t="s">
        <v>211</v>
      </c>
      <c r="C61" s="12" t="s">
        <v>184</v>
      </c>
      <c r="D61" s="12" t="s">
        <v>212</v>
      </c>
      <c r="E61" s="12" t="s">
        <v>203</v>
      </c>
      <c r="F61" s="13" t="n">
        <v>27.79</v>
      </c>
      <c r="G61" s="13" t="n">
        <v>7.36</v>
      </c>
      <c r="H61" s="14" t="n">
        <v>0.12</v>
      </c>
      <c r="I61" s="13" t="n">
        <v>79.44</v>
      </c>
      <c r="J61" s="13" t="n">
        <v>79.44</v>
      </c>
      <c r="K61" s="13" t="n">
        <v>69.17</v>
      </c>
      <c r="L61" s="15" t="b">
        <f aca="false">TRUE()</f>
        <v>1</v>
      </c>
      <c r="M61" s="16" t="n">
        <v>5</v>
      </c>
      <c r="N61" s="16" t="n">
        <v>40711</v>
      </c>
      <c r="O61" s="16" t="n">
        <v>2938</v>
      </c>
      <c r="P61" s="16" t="n">
        <v>1175</v>
      </c>
      <c r="Q61" s="16" t="n">
        <v>500</v>
      </c>
      <c r="R61" s="17" t="n">
        <f aca="false">IF(Q61=0,999,O61/(Q61/7))</f>
        <v>41.132</v>
      </c>
      <c r="S61" s="12" t="s">
        <v>33</v>
      </c>
      <c r="T61" s="16" t="n">
        <v>30143</v>
      </c>
      <c r="U61" s="16" t="n">
        <v>413</v>
      </c>
      <c r="V61" s="13" t="n">
        <v>669.06</v>
      </c>
      <c r="W61" s="16" t="n">
        <v>19</v>
      </c>
      <c r="X61" s="13" t="n">
        <v>1509.36</v>
      </c>
      <c r="Y61" s="13" t="n">
        <v>1.62</v>
      </c>
      <c r="Z61" s="14" t="n">
        <f aca="false">IF(T61=0,0,U61/T61)</f>
        <v>0.0137013568656073</v>
      </c>
      <c r="AA61" s="14" t="n">
        <f aca="false">IF(X61=0,0,V61/X61)</f>
        <v>0.443273970424551</v>
      </c>
      <c r="AB61" s="18" t="n">
        <f aca="false">IF(V61=0,0,X61/V61)</f>
        <v>2.25594117119541</v>
      </c>
    </row>
    <row r="62" customFormat="false" ht="15" hidden="false" customHeight="false" outlineLevel="0" collapsed="false">
      <c r="A62" s="5" t="s">
        <v>213</v>
      </c>
      <c r="B62" s="5" t="s">
        <v>214</v>
      </c>
      <c r="C62" s="5" t="s">
        <v>215</v>
      </c>
      <c r="D62" s="5" t="s">
        <v>216</v>
      </c>
      <c r="E62" s="5" t="s">
        <v>32</v>
      </c>
      <c r="F62" s="6" t="n">
        <v>19.83</v>
      </c>
      <c r="G62" s="6" t="n">
        <v>3.12</v>
      </c>
      <c r="H62" s="7" t="n">
        <v>0.12</v>
      </c>
      <c r="I62" s="6" t="n">
        <v>59.08</v>
      </c>
      <c r="J62" s="6" t="n">
        <v>59.08</v>
      </c>
      <c r="K62" s="6" t="n">
        <v>59.08</v>
      </c>
      <c r="L62" s="8" t="b">
        <f aca="false">TRUE()</f>
        <v>1</v>
      </c>
      <c r="M62" s="9" t="n">
        <v>0</v>
      </c>
      <c r="N62" s="9" t="n">
        <v>81148</v>
      </c>
      <c r="O62" s="9" t="n">
        <v>208</v>
      </c>
      <c r="P62" s="9" t="n">
        <v>290</v>
      </c>
      <c r="Q62" s="9" t="n">
        <v>354</v>
      </c>
      <c r="R62" s="10" t="n">
        <f aca="false">IF(Q62=0,999,O62/(Q62/7))</f>
        <v>4.11299435028249</v>
      </c>
      <c r="S62" s="5" t="s">
        <v>33</v>
      </c>
      <c r="T62" s="9" t="n">
        <v>97620</v>
      </c>
      <c r="U62" s="9" t="n">
        <v>1132</v>
      </c>
      <c r="V62" s="6" t="n">
        <v>452.8</v>
      </c>
      <c r="W62" s="9" t="n">
        <v>21</v>
      </c>
      <c r="X62" s="6" t="n">
        <v>1240.68</v>
      </c>
      <c r="Y62" s="6" t="n">
        <v>0.4</v>
      </c>
      <c r="Z62" s="7" t="n">
        <f aca="false">IF(T62=0,0,U62/T62)</f>
        <v>0.0115959844294202</v>
      </c>
      <c r="AA62" s="7" t="n">
        <f aca="false">IF(X62=0,0,V62/X62)</f>
        <v>0.364961150336912</v>
      </c>
      <c r="AB62" s="11" t="n">
        <f aca="false">IF(V62=0,0,X62/V62)</f>
        <v>2.74001766784452</v>
      </c>
    </row>
    <row r="63" customFormat="false" ht="15" hidden="false" customHeight="false" outlineLevel="0" collapsed="false">
      <c r="A63" s="12" t="s">
        <v>217</v>
      </c>
      <c r="B63" s="12" t="s">
        <v>218</v>
      </c>
      <c r="C63" s="12" t="s">
        <v>215</v>
      </c>
      <c r="D63" s="12" t="s">
        <v>219</v>
      </c>
      <c r="E63" s="12" t="s">
        <v>32</v>
      </c>
      <c r="F63" s="13" t="n">
        <v>12.09</v>
      </c>
      <c r="G63" s="13" t="n">
        <v>7.76</v>
      </c>
      <c r="H63" s="14" t="n">
        <v>0.12</v>
      </c>
      <c r="I63" s="13" t="n">
        <v>40.09</v>
      </c>
      <c r="J63" s="13" t="n">
        <v>36.09</v>
      </c>
      <c r="K63" s="13" t="n">
        <v>36.68</v>
      </c>
      <c r="L63" s="15" t="b">
        <f aca="false">FALSE()</f>
        <v>0</v>
      </c>
      <c r="M63" s="16" t="n">
        <v>11</v>
      </c>
      <c r="N63" s="16" t="n">
        <v>13941</v>
      </c>
      <c r="O63" s="16" t="n">
        <v>1261</v>
      </c>
      <c r="P63" s="16" t="n">
        <v>994</v>
      </c>
      <c r="Q63" s="16" t="n">
        <v>166</v>
      </c>
      <c r="R63" s="17" t="n">
        <f aca="false">IF(Q63=0,999,O63/(Q63/7))</f>
        <v>53.1746987951807</v>
      </c>
      <c r="S63" s="12" t="s">
        <v>40</v>
      </c>
      <c r="T63" s="16" t="n">
        <v>80070</v>
      </c>
      <c r="U63" s="16" t="n">
        <v>745</v>
      </c>
      <c r="V63" s="13" t="n">
        <v>566.2</v>
      </c>
      <c r="W63" s="16" t="n">
        <v>38</v>
      </c>
      <c r="X63" s="13" t="n">
        <v>1523.42</v>
      </c>
      <c r="Y63" s="13" t="n">
        <v>0.76</v>
      </c>
      <c r="Z63" s="14" t="n">
        <f aca="false">IF(T63=0,0,U63/T63)</f>
        <v>0.00930435868614962</v>
      </c>
      <c r="AA63" s="14" t="n">
        <f aca="false">IF(X63=0,0,V63/X63)</f>
        <v>0.371663756547768</v>
      </c>
      <c r="AB63" s="18" t="n">
        <f aca="false">IF(V63=0,0,X63/V63)</f>
        <v>2.69060402684564</v>
      </c>
    </row>
    <row r="64" customFormat="false" ht="15" hidden="false" customHeight="false" outlineLevel="0" collapsed="false">
      <c r="A64" s="5" t="s">
        <v>220</v>
      </c>
      <c r="B64" s="5" t="s">
        <v>221</v>
      </c>
      <c r="C64" s="5" t="s">
        <v>215</v>
      </c>
      <c r="D64" s="5" t="s">
        <v>222</v>
      </c>
      <c r="E64" s="5" t="s">
        <v>32</v>
      </c>
      <c r="F64" s="6" t="n">
        <v>9.02</v>
      </c>
      <c r="G64" s="6" t="n">
        <v>11.93</v>
      </c>
      <c r="H64" s="7" t="n">
        <v>0.15</v>
      </c>
      <c r="I64" s="6" t="n">
        <v>37.6</v>
      </c>
      <c r="J64" s="6" t="n">
        <v>37.6</v>
      </c>
      <c r="K64" s="6" t="n">
        <v>36.98</v>
      </c>
      <c r="L64" s="8" t="b">
        <f aca="false">TRUE()</f>
        <v>1</v>
      </c>
      <c r="M64" s="9" t="n">
        <v>8</v>
      </c>
      <c r="N64" s="9" t="n">
        <v>103765</v>
      </c>
      <c r="O64" s="9" t="n">
        <v>228</v>
      </c>
      <c r="P64" s="9" t="n">
        <v>592</v>
      </c>
      <c r="Q64" s="9" t="n">
        <v>63</v>
      </c>
      <c r="R64" s="10" t="n">
        <f aca="false">IF(Q64=0,999,O64/(Q64/7))</f>
        <v>25.3333333333333</v>
      </c>
      <c r="S64" s="5" t="s">
        <v>40</v>
      </c>
      <c r="T64" s="9" t="n">
        <v>43507</v>
      </c>
      <c r="U64" s="9" t="n">
        <v>235</v>
      </c>
      <c r="V64" s="6" t="n">
        <v>258.5</v>
      </c>
      <c r="W64" s="9" t="n">
        <v>26</v>
      </c>
      <c r="X64" s="6" t="n">
        <v>977.6</v>
      </c>
      <c r="Y64" s="6" t="n">
        <v>1.1</v>
      </c>
      <c r="Z64" s="7" t="n">
        <f aca="false">IF(T64=0,0,U64/T64)</f>
        <v>0.00540142965499805</v>
      </c>
      <c r="AA64" s="7" t="n">
        <f aca="false">IF(X64=0,0,V64/X64)</f>
        <v>0.264423076923077</v>
      </c>
      <c r="AB64" s="11" t="n">
        <f aca="false">IF(V64=0,0,X64/V64)</f>
        <v>3.78181818181818</v>
      </c>
    </row>
    <row r="65" customFormat="false" ht="15" hidden="false" customHeight="false" outlineLevel="0" collapsed="false">
      <c r="A65" s="12" t="s">
        <v>223</v>
      </c>
      <c r="B65" s="12" t="s">
        <v>224</v>
      </c>
      <c r="C65" s="12" t="s">
        <v>215</v>
      </c>
      <c r="D65" s="12" t="s">
        <v>225</v>
      </c>
      <c r="E65" s="12" t="s">
        <v>32</v>
      </c>
      <c r="F65" s="13" t="n">
        <v>14.01</v>
      </c>
      <c r="G65" s="13" t="n">
        <v>5.25</v>
      </c>
      <c r="H65" s="14" t="n">
        <v>0.12</v>
      </c>
      <c r="I65" s="13" t="n">
        <v>40.41</v>
      </c>
      <c r="J65" s="13" t="n">
        <v>36.71</v>
      </c>
      <c r="K65" s="13" t="n">
        <v>37.56</v>
      </c>
      <c r="L65" s="15" t="b">
        <f aca="false">FALSE()</f>
        <v>0</v>
      </c>
      <c r="M65" s="16" t="n">
        <v>1</v>
      </c>
      <c r="N65" s="16" t="n">
        <v>120671</v>
      </c>
      <c r="O65" s="16" t="n">
        <v>814</v>
      </c>
      <c r="P65" s="16" t="n">
        <v>592</v>
      </c>
      <c r="Q65" s="16" t="n">
        <v>86</v>
      </c>
      <c r="R65" s="17" t="n">
        <f aca="false">IF(Q65=0,999,O65/(Q65/7))</f>
        <v>66.2558139534884</v>
      </c>
      <c r="S65" s="12" t="s">
        <v>33</v>
      </c>
      <c r="T65" s="16" t="n">
        <v>15596</v>
      </c>
      <c r="U65" s="16" t="n">
        <v>139</v>
      </c>
      <c r="V65" s="13" t="n">
        <v>250.2</v>
      </c>
      <c r="W65" s="16" t="n">
        <v>35</v>
      </c>
      <c r="X65" s="13" t="n">
        <v>1414.35</v>
      </c>
      <c r="Y65" s="13" t="n">
        <v>1.8</v>
      </c>
      <c r="Z65" s="14" t="n">
        <f aca="false">IF(T65=0,0,U65/T65)</f>
        <v>0.00891254167735317</v>
      </c>
      <c r="AA65" s="14" t="n">
        <f aca="false">IF(X65=0,0,V65/X65)</f>
        <v>0.176901049952275</v>
      </c>
      <c r="AB65" s="18" t="n">
        <f aca="false">IF(V65=0,0,X65/V65)</f>
        <v>5.65287769784173</v>
      </c>
    </row>
    <row r="66" customFormat="false" ht="15" hidden="false" customHeight="false" outlineLevel="0" collapsed="false">
      <c r="A66" s="5" t="s">
        <v>226</v>
      </c>
      <c r="B66" s="5" t="s">
        <v>227</v>
      </c>
      <c r="C66" s="5" t="s">
        <v>215</v>
      </c>
      <c r="D66" s="5" t="s">
        <v>216</v>
      </c>
      <c r="E66" s="5" t="s">
        <v>32</v>
      </c>
      <c r="F66" s="6" t="n">
        <v>16.11</v>
      </c>
      <c r="G66" s="6" t="n">
        <v>4.63</v>
      </c>
      <c r="H66" s="7" t="n">
        <v>0.15</v>
      </c>
      <c r="I66" s="6" t="n">
        <v>46.8</v>
      </c>
      <c r="J66" s="6" t="n">
        <v>46.8</v>
      </c>
      <c r="K66" s="6" t="n">
        <v>42.06</v>
      </c>
      <c r="L66" s="8" t="b">
        <f aca="false">TRUE()</f>
        <v>1</v>
      </c>
      <c r="M66" s="9" t="n">
        <v>1</v>
      </c>
      <c r="N66" s="9" t="n">
        <v>137503</v>
      </c>
      <c r="O66" s="9" t="n">
        <v>146</v>
      </c>
      <c r="P66" s="9" t="n">
        <v>156</v>
      </c>
      <c r="Q66" s="9" t="n">
        <v>87</v>
      </c>
      <c r="R66" s="10" t="n">
        <f aca="false">IF(Q66=0,999,O66/(Q66/7))</f>
        <v>11.7471264367816</v>
      </c>
      <c r="S66" s="5" t="s">
        <v>33</v>
      </c>
      <c r="T66" s="9" t="n">
        <v>67410</v>
      </c>
      <c r="U66" s="9" t="n">
        <v>782</v>
      </c>
      <c r="V66" s="6" t="n">
        <v>899.3</v>
      </c>
      <c r="W66" s="9" t="n">
        <v>104</v>
      </c>
      <c r="X66" s="6" t="n">
        <v>4867.2</v>
      </c>
      <c r="Y66" s="6" t="n">
        <v>1.15</v>
      </c>
      <c r="Z66" s="7" t="n">
        <f aca="false">IF(T66=0,0,U66/T66)</f>
        <v>0.0116006527221481</v>
      </c>
      <c r="AA66" s="7" t="n">
        <f aca="false">IF(X66=0,0,V66/X66)</f>
        <v>0.184767422748192</v>
      </c>
      <c r="AB66" s="11" t="n">
        <f aca="false">IF(V66=0,0,X66/V66)</f>
        <v>5.41220949627488</v>
      </c>
    </row>
    <row r="67" customFormat="false" ht="15" hidden="false" customHeight="false" outlineLevel="0" collapsed="false">
      <c r="A67" s="12" t="s">
        <v>228</v>
      </c>
      <c r="B67" s="12" t="s">
        <v>229</v>
      </c>
      <c r="C67" s="12" t="s">
        <v>215</v>
      </c>
      <c r="D67" s="12" t="s">
        <v>230</v>
      </c>
      <c r="E67" s="12" t="s">
        <v>32</v>
      </c>
      <c r="F67" s="13" t="n">
        <v>14.95</v>
      </c>
      <c r="G67" s="13" t="n">
        <v>5.9</v>
      </c>
      <c r="H67" s="14" t="n">
        <v>0.1</v>
      </c>
      <c r="I67" s="13" t="n">
        <v>38.08</v>
      </c>
      <c r="J67" s="13" t="n">
        <v>38.08</v>
      </c>
      <c r="K67" s="13" t="n">
        <v>33.15</v>
      </c>
      <c r="L67" s="15" t="b">
        <f aca="false">TRUE()</f>
        <v>1</v>
      </c>
      <c r="M67" s="16" t="n">
        <v>3</v>
      </c>
      <c r="N67" s="16" t="n">
        <v>45631</v>
      </c>
      <c r="O67" s="16" t="n">
        <v>1588</v>
      </c>
      <c r="P67" s="16" t="n">
        <v>950</v>
      </c>
      <c r="Q67" s="16" t="n">
        <v>163</v>
      </c>
      <c r="R67" s="17" t="n">
        <f aca="false">IF(Q67=0,999,O67/(Q67/7))</f>
        <v>68.1963190184049</v>
      </c>
      <c r="S67" s="12" t="s">
        <v>33</v>
      </c>
      <c r="T67" s="16" t="n">
        <v>99386</v>
      </c>
      <c r="U67" s="16" t="n">
        <v>1073</v>
      </c>
      <c r="V67" s="13" t="n">
        <v>1309.06</v>
      </c>
      <c r="W67" s="16" t="n">
        <v>100</v>
      </c>
      <c r="X67" s="13" t="n">
        <v>3808</v>
      </c>
      <c r="Y67" s="13" t="n">
        <v>1.22</v>
      </c>
      <c r="Z67" s="14" t="n">
        <f aca="false">IF(T67=0,0,U67/T67)</f>
        <v>0.0107962892157849</v>
      </c>
      <c r="AA67" s="14" t="n">
        <f aca="false">IF(X67=0,0,V67/X67)</f>
        <v>0.343765756302521</v>
      </c>
      <c r="AB67" s="18" t="n">
        <f aca="false">IF(V67=0,0,X67/V67)</f>
        <v>2.90895757260935</v>
      </c>
    </row>
    <row r="68" customFormat="false" ht="15" hidden="false" customHeight="false" outlineLevel="0" collapsed="false">
      <c r="A68" s="5" t="s">
        <v>231</v>
      </c>
      <c r="B68" s="5" t="s">
        <v>232</v>
      </c>
      <c r="C68" s="5" t="s">
        <v>215</v>
      </c>
      <c r="D68" s="5" t="s">
        <v>233</v>
      </c>
      <c r="E68" s="5" t="s">
        <v>84</v>
      </c>
      <c r="F68" s="6" t="n">
        <v>24.42</v>
      </c>
      <c r="G68" s="6" t="n">
        <v>4.45</v>
      </c>
      <c r="H68" s="7" t="n">
        <v>0.12</v>
      </c>
      <c r="I68" s="6" t="n">
        <v>61.43</v>
      </c>
      <c r="J68" s="6" t="n">
        <v>61.43</v>
      </c>
      <c r="K68" s="6" t="n">
        <v>57.62</v>
      </c>
      <c r="L68" s="8" t="b">
        <f aca="false">TRUE()</f>
        <v>1</v>
      </c>
      <c r="M68" s="9" t="n">
        <v>2</v>
      </c>
      <c r="N68" s="9" t="n">
        <v>165663</v>
      </c>
      <c r="O68" s="9" t="n">
        <v>2139</v>
      </c>
      <c r="P68" s="9" t="n">
        <v>925</v>
      </c>
      <c r="Q68" s="9" t="n">
        <v>317</v>
      </c>
      <c r="R68" s="10" t="n">
        <f aca="false">IF(Q68=0,999,O68/(Q68/7))</f>
        <v>47.2334384858044</v>
      </c>
      <c r="S68" s="5" t="s">
        <v>33</v>
      </c>
      <c r="T68" s="9" t="n">
        <v>5429</v>
      </c>
      <c r="U68" s="9" t="n">
        <v>26</v>
      </c>
      <c r="V68" s="6" t="n">
        <v>41.6</v>
      </c>
      <c r="W68" s="9" t="n">
        <v>5</v>
      </c>
      <c r="X68" s="6" t="n">
        <v>307.15</v>
      </c>
      <c r="Y68" s="6" t="n">
        <v>1.6</v>
      </c>
      <c r="Z68" s="7" t="n">
        <f aca="false">IF(T68=0,0,U68/T68)</f>
        <v>0.00478909559771597</v>
      </c>
      <c r="AA68" s="7" t="n">
        <f aca="false">IF(X68=0,0,V68/X68)</f>
        <v>0.135438710727658</v>
      </c>
      <c r="AB68" s="11" t="n">
        <f aca="false">IF(V68=0,0,X68/V68)</f>
        <v>7.38341346153846</v>
      </c>
    </row>
    <row r="69" customFormat="false" ht="15" hidden="false" customHeight="false" outlineLevel="0" collapsed="false">
      <c r="A69" s="12" t="s">
        <v>234</v>
      </c>
      <c r="B69" s="12" t="s">
        <v>235</v>
      </c>
      <c r="C69" s="12" t="s">
        <v>215</v>
      </c>
      <c r="D69" s="12" t="s">
        <v>236</v>
      </c>
      <c r="E69" s="12" t="s">
        <v>84</v>
      </c>
      <c r="F69" s="13" t="n">
        <v>18.42</v>
      </c>
      <c r="G69" s="13" t="n">
        <v>5.08</v>
      </c>
      <c r="H69" s="14" t="n">
        <v>0.08</v>
      </c>
      <c r="I69" s="13" t="n">
        <v>59.19</v>
      </c>
      <c r="J69" s="13" t="n">
        <v>59.19</v>
      </c>
      <c r="K69" s="13" t="n">
        <v>61.07</v>
      </c>
      <c r="L69" s="15" t="b">
        <f aca="false">TRUE()</f>
        <v>1</v>
      </c>
      <c r="M69" s="16" t="n">
        <v>7</v>
      </c>
      <c r="N69" s="16" t="n">
        <v>49495</v>
      </c>
      <c r="O69" s="16" t="n">
        <v>2109</v>
      </c>
      <c r="P69" s="16" t="n">
        <v>1462</v>
      </c>
      <c r="Q69" s="16" t="n">
        <v>336</v>
      </c>
      <c r="R69" s="17" t="n">
        <f aca="false">IF(Q69=0,999,O69/(Q69/7))</f>
        <v>43.9375</v>
      </c>
      <c r="S69" s="12" t="s">
        <v>33</v>
      </c>
      <c r="T69" s="16" t="n">
        <v>11553</v>
      </c>
      <c r="U69" s="16" t="n">
        <v>117</v>
      </c>
      <c r="V69" s="13" t="n">
        <v>71.37</v>
      </c>
      <c r="W69" s="16" t="n">
        <v>6</v>
      </c>
      <c r="X69" s="13" t="n">
        <v>355.14</v>
      </c>
      <c r="Y69" s="13" t="n">
        <v>0.61</v>
      </c>
      <c r="Z69" s="14" t="n">
        <f aca="false">IF(T69=0,0,U69/T69)</f>
        <v>0.0101272396780057</v>
      </c>
      <c r="AA69" s="14" t="n">
        <f aca="false">IF(X69=0,0,V69/X69)</f>
        <v>0.200963000506842</v>
      </c>
      <c r="AB69" s="18" t="n">
        <f aca="false">IF(V69=0,0,X69/V69)</f>
        <v>4.97604035308953</v>
      </c>
    </row>
    <row r="70" customFormat="false" ht="15" hidden="false" customHeight="false" outlineLevel="0" collapsed="false">
      <c r="A70" s="5" t="s">
        <v>237</v>
      </c>
      <c r="B70" s="5" t="s">
        <v>238</v>
      </c>
      <c r="C70" s="5" t="s">
        <v>215</v>
      </c>
      <c r="D70" s="5" t="s">
        <v>239</v>
      </c>
      <c r="E70" s="5" t="s">
        <v>84</v>
      </c>
      <c r="F70" s="6" t="n">
        <v>28.06</v>
      </c>
      <c r="G70" s="6" t="n">
        <v>5.74</v>
      </c>
      <c r="H70" s="7" t="n">
        <v>0.12</v>
      </c>
      <c r="I70" s="6" t="n">
        <v>89.27</v>
      </c>
      <c r="J70" s="6" t="n">
        <v>89.27</v>
      </c>
      <c r="K70" s="6" t="n">
        <v>92.27</v>
      </c>
      <c r="L70" s="8" t="b">
        <f aca="false">TRUE()</f>
        <v>1</v>
      </c>
      <c r="M70" s="9" t="n">
        <v>5</v>
      </c>
      <c r="N70" s="9" t="n">
        <v>88850</v>
      </c>
      <c r="O70" s="9" t="n">
        <v>410</v>
      </c>
      <c r="P70" s="9" t="n">
        <v>581</v>
      </c>
      <c r="Q70" s="9" t="n">
        <v>60</v>
      </c>
      <c r="R70" s="10" t="n">
        <f aca="false">IF(Q70=0,999,O70/(Q70/7))</f>
        <v>47.8333333333333</v>
      </c>
      <c r="S70" s="5" t="s">
        <v>33</v>
      </c>
      <c r="T70" s="9" t="n">
        <v>33529</v>
      </c>
      <c r="U70" s="9" t="n">
        <v>426</v>
      </c>
      <c r="V70" s="6" t="n">
        <v>566.58</v>
      </c>
      <c r="W70" s="9" t="n">
        <v>15</v>
      </c>
      <c r="X70" s="6" t="n">
        <v>1339.05</v>
      </c>
      <c r="Y70" s="6" t="n">
        <v>1.33</v>
      </c>
      <c r="Z70" s="7" t="n">
        <f aca="false">IF(T70=0,0,U70/T70)</f>
        <v>0.0127054191893585</v>
      </c>
      <c r="AA70" s="7" t="n">
        <f aca="false">IF(X70=0,0,V70/X70)</f>
        <v>0.423120869272992</v>
      </c>
      <c r="AB70" s="11" t="n">
        <f aca="false">IF(V70=0,0,X70/V70)</f>
        <v>2.36339087154506</v>
      </c>
    </row>
    <row r="71" customFormat="false" ht="15" hidden="false" customHeight="false" outlineLevel="0" collapsed="false">
      <c r="A71" s="12" t="s">
        <v>240</v>
      </c>
      <c r="B71" s="12" t="s">
        <v>241</v>
      </c>
      <c r="C71" s="12" t="s">
        <v>215</v>
      </c>
      <c r="D71" s="12" t="s">
        <v>242</v>
      </c>
      <c r="E71" s="12" t="s">
        <v>84</v>
      </c>
      <c r="F71" s="13" t="n">
        <v>11.91</v>
      </c>
      <c r="G71" s="13" t="n">
        <v>7.63</v>
      </c>
      <c r="H71" s="14" t="n">
        <v>0.12</v>
      </c>
      <c r="I71" s="13" t="n">
        <v>36.66</v>
      </c>
      <c r="J71" s="13" t="n">
        <v>35.77</v>
      </c>
      <c r="K71" s="13" t="n">
        <v>38.26</v>
      </c>
      <c r="L71" s="15" t="b">
        <f aca="false">FALSE()</f>
        <v>0</v>
      </c>
      <c r="M71" s="16" t="n">
        <v>4</v>
      </c>
      <c r="N71" s="16" t="n">
        <v>156136</v>
      </c>
      <c r="O71" s="16" t="n">
        <v>51</v>
      </c>
      <c r="P71" s="16" t="n">
        <v>1323</v>
      </c>
      <c r="Q71" s="16" t="n">
        <v>93</v>
      </c>
      <c r="R71" s="17" t="n">
        <f aca="false">IF(Q71=0,999,O71/(Q71/7))</f>
        <v>3.83870967741935</v>
      </c>
      <c r="S71" s="12" t="s">
        <v>40</v>
      </c>
      <c r="T71" s="16" t="n">
        <v>88378</v>
      </c>
      <c r="U71" s="16" t="n">
        <v>804</v>
      </c>
      <c r="V71" s="13" t="n">
        <v>715.56</v>
      </c>
      <c r="W71" s="16" t="n">
        <v>81</v>
      </c>
      <c r="X71" s="13" t="n">
        <v>2969.46</v>
      </c>
      <c r="Y71" s="13" t="n">
        <v>0.89</v>
      </c>
      <c r="Z71" s="14" t="n">
        <f aca="false">IF(T71=0,0,U71/T71)</f>
        <v>0.0090972866550499</v>
      </c>
      <c r="AA71" s="14" t="n">
        <f aca="false">IF(X71=0,0,V71/X71)</f>
        <v>0.240973106221333</v>
      </c>
      <c r="AB71" s="18" t="n">
        <f aca="false">IF(V71=0,0,X71/V71)</f>
        <v>4.14984068421935</v>
      </c>
    </row>
    <row r="72" customFormat="false" ht="15" hidden="false" customHeight="false" outlineLevel="0" collapsed="false">
      <c r="A72" s="5" t="s">
        <v>243</v>
      </c>
      <c r="B72" s="5" t="s">
        <v>244</v>
      </c>
      <c r="C72" s="5" t="s">
        <v>245</v>
      </c>
      <c r="D72" s="5" t="s">
        <v>246</v>
      </c>
      <c r="E72" s="5" t="s">
        <v>84</v>
      </c>
      <c r="F72" s="6" t="n">
        <v>24.23</v>
      </c>
      <c r="G72" s="6" t="n">
        <v>12.63</v>
      </c>
      <c r="H72" s="7" t="n">
        <v>0.1</v>
      </c>
      <c r="I72" s="6" t="n">
        <v>86.08</v>
      </c>
      <c r="J72" s="6" t="n">
        <v>86.08</v>
      </c>
      <c r="K72" s="6" t="n">
        <v>90.38</v>
      </c>
      <c r="L72" s="8" t="b">
        <f aca="false">TRUE()</f>
        <v>1</v>
      </c>
      <c r="M72" s="9" t="n">
        <v>3</v>
      </c>
      <c r="N72" s="9" t="n">
        <v>77690</v>
      </c>
      <c r="O72" s="9" t="n">
        <v>604</v>
      </c>
      <c r="P72" s="9" t="n">
        <v>1265</v>
      </c>
      <c r="Q72" s="9" t="n">
        <v>110</v>
      </c>
      <c r="R72" s="10" t="n">
        <f aca="false">IF(Q72=0,999,O72/(Q72/7))</f>
        <v>38.4363636363636</v>
      </c>
      <c r="S72" s="5" t="s">
        <v>40</v>
      </c>
      <c r="T72" s="9" t="n">
        <v>17676</v>
      </c>
      <c r="U72" s="9" t="n">
        <v>198</v>
      </c>
      <c r="V72" s="6" t="n">
        <v>114.84</v>
      </c>
      <c r="W72" s="9" t="n">
        <v>7</v>
      </c>
      <c r="X72" s="6" t="n">
        <v>602.56</v>
      </c>
      <c r="Y72" s="6" t="n">
        <v>0.58</v>
      </c>
      <c r="Z72" s="7" t="n">
        <f aca="false">IF(T72=0,0,U72/T72)</f>
        <v>0.0112016293279022</v>
      </c>
      <c r="AA72" s="7" t="n">
        <f aca="false">IF(X72=0,0,V72/X72)</f>
        <v>0.19058682952735</v>
      </c>
      <c r="AB72" s="11" t="n">
        <f aca="false">IF(V72=0,0,X72/V72)</f>
        <v>5.24695228143504</v>
      </c>
    </row>
    <row r="73" customFormat="false" ht="15" hidden="false" customHeight="false" outlineLevel="0" collapsed="false">
      <c r="A73" s="12" t="s">
        <v>247</v>
      </c>
      <c r="B73" s="12" t="s">
        <v>248</v>
      </c>
      <c r="C73" s="12" t="s">
        <v>245</v>
      </c>
      <c r="D73" s="12" t="s">
        <v>249</v>
      </c>
      <c r="E73" s="12" t="s">
        <v>84</v>
      </c>
      <c r="F73" s="13" t="n">
        <v>18.66</v>
      </c>
      <c r="G73" s="13" t="n">
        <v>4.97</v>
      </c>
      <c r="H73" s="14" t="n">
        <v>0.15</v>
      </c>
      <c r="I73" s="13" t="n">
        <v>74.71</v>
      </c>
      <c r="J73" s="13" t="n">
        <v>74.71</v>
      </c>
      <c r="K73" s="13" t="n">
        <v>73.61</v>
      </c>
      <c r="L73" s="15" t="b">
        <f aca="false">TRUE()</f>
        <v>1</v>
      </c>
      <c r="M73" s="16" t="n">
        <v>5</v>
      </c>
      <c r="N73" s="16" t="n">
        <v>116594</v>
      </c>
      <c r="O73" s="16" t="n">
        <v>2221</v>
      </c>
      <c r="P73" s="16" t="n">
        <v>397</v>
      </c>
      <c r="Q73" s="16" t="n">
        <v>298</v>
      </c>
      <c r="R73" s="17" t="n">
        <f aca="false">IF(Q73=0,999,O73/(Q73/7))</f>
        <v>52.1711409395973</v>
      </c>
      <c r="S73" s="12" t="s">
        <v>33</v>
      </c>
      <c r="T73" s="16" t="n">
        <v>48713</v>
      </c>
      <c r="U73" s="16" t="n">
        <v>589</v>
      </c>
      <c r="V73" s="13" t="n">
        <v>712.69</v>
      </c>
      <c r="W73" s="16" t="n">
        <v>36</v>
      </c>
      <c r="X73" s="13" t="n">
        <v>2689.56</v>
      </c>
      <c r="Y73" s="13" t="n">
        <v>1.21</v>
      </c>
      <c r="Z73" s="14" t="n">
        <f aca="false">IF(T73=0,0,U73/T73)</f>
        <v>0.0120912282142344</v>
      </c>
      <c r="AA73" s="14" t="n">
        <f aca="false">IF(X73=0,0,V73/X73)</f>
        <v>0.264983863531581</v>
      </c>
      <c r="AB73" s="18" t="n">
        <f aca="false">IF(V73=0,0,X73/V73)</f>
        <v>3.77381470204437</v>
      </c>
    </row>
    <row r="74" customFormat="false" ht="15" hidden="false" customHeight="false" outlineLevel="0" collapsed="false">
      <c r="A74" s="5" t="s">
        <v>250</v>
      </c>
      <c r="B74" s="5" t="s">
        <v>251</v>
      </c>
      <c r="C74" s="5" t="s">
        <v>245</v>
      </c>
      <c r="D74" s="5" t="s">
        <v>252</v>
      </c>
      <c r="E74" s="5" t="s">
        <v>84</v>
      </c>
      <c r="F74" s="6" t="n">
        <v>22.43</v>
      </c>
      <c r="G74" s="6" t="n">
        <v>4.88</v>
      </c>
      <c r="H74" s="7" t="n">
        <v>0.1</v>
      </c>
      <c r="I74" s="6" t="n">
        <v>72.24</v>
      </c>
      <c r="J74" s="6" t="n">
        <v>72.24</v>
      </c>
      <c r="K74" s="6" t="n">
        <v>72.98</v>
      </c>
      <c r="L74" s="8" t="b">
        <f aca="false">TRUE()</f>
        <v>1</v>
      </c>
      <c r="M74" s="9" t="n">
        <v>3</v>
      </c>
      <c r="N74" s="9" t="n">
        <v>65686</v>
      </c>
      <c r="O74" s="9" t="n">
        <v>50</v>
      </c>
      <c r="P74" s="9" t="n">
        <v>583</v>
      </c>
      <c r="Q74" s="9" t="n">
        <v>60</v>
      </c>
      <c r="R74" s="10" t="n">
        <f aca="false">IF(Q74=0,999,O74/(Q74/7))</f>
        <v>5.83333333333333</v>
      </c>
      <c r="S74" s="5" t="s">
        <v>33</v>
      </c>
      <c r="T74" s="9" t="n">
        <v>11493</v>
      </c>
      <c r="U74" s="9" t="n">
        <v>152</v>
      </c>
      <c r="V74" s="6" t="n">
        <v>115.52</v>
      </c>
      <c r="W74" s="9" t="n">
        <v>4</v>
      </c>
      <c r="X74" s="6" t="n">
        <v>288.96</v>
      </c>
      <c r="Y74" s="6" t="n">
        <v>0.76</v>
      </c>
      <c r="Z74" s="7" t="n">
        <f aca="false">IF(T74=0,0,U74/T74)</f>
        <v>0.0132254415731315</v>
      </c>
      <c r="AA74" s="7" t="n">
        <f aca="false">IF(X74=0,0,V74/X74)</f>
        <v>0.399778516057586</v>
      </c>
      <c r="AB74" s="11" t="n">
        <f aca="false">IF(V74=0,0,X74/V74)</f>
        <v>2.50138504155125</v>
      </c>
    </row>
    <row r="75" customFormat="false" ht="15" hidden="false" customHeight="false" outlineLevel="0" collapsed="false">
      <c r="A75" s="12" t="s">
        <v>253</v>
      </c>
      <c r="B75" s="12" t="s">
        <v>254</v>
      </c>
      <c r="C75" s="12" t="s">
        <v>245</v>
      </c>
      <c r="D75" s="12" t="s">
        <v>246</v>
      </c>
      <c r="E75" s="12" t="s">
        <v>84</v>
      </c>
      <c r="F75" s="13" t="n">
        <v>18.09</v>
      </c>
      <c r="G75" s="13" t="n">
        <v>13.78</v>
      </c>
      <c r="H75" s="14" t="n">
        <v>0.15</v>
      </c>
      <c r="I75" s="13" t="n">
        <v>76.47</v>
      </c>
      <c r="J75" s="13" t="n">
        <v>76.47</v>
      </c>
      <c r="K75" s="13" t="n">
        <v>79.23</v>
      </c>
      <c r="L75" s="15" t="b">
        <f aca="false">TRUE()</f>
        <v>1</v>
      </c>
      <c r="M75" s="16" t="n">
        <v>5</v>
      </c>
      <c r="N75" s="16" t="n">
        <v>104078</v>
      </c>
      <c r="O75" s="16" t="n">
        <v>1640</v>
      </c>
      <c r="P75" s="16" t="n">
        <v>202</v>
      </c>
      <c r="Q75" s="16" t="n">
        <v>521</v>
      </c>
      <c r="R75" s="17" t="n">
        <f aca="false">IF(Q75=0,999,O75/(Q75/7))</f>
        <v>22.0345489443378</v>
      </c>
      <c r="S75" s="12" t="s">
        <v>40</v>
      </c>
      <c r="T75" s="16" t="n">
        <v>110492</v>
      </c>
      <c r="U75" s="16" t="n">
        <v>1392</v>
      </c>
      <c r="V75" s="13" t="n">
        <v>1183.2</v>
      </c>
      <c r="W75" s="16" t="n">
        <v>92</v>
      </c>
      <c r="X75" s="13" t="n">
        <v>7035.24</v>
      </c>
      <c r="Y75" s="13" t="n">
        <v>0.85</v>
      </c>
      <c r="Z75" s="14" t="n">
        <f aca="false">IF(T75=0,0,U75/T75)</f>
        <v>0.0125981971545451</v>
      </c>
      <c r="AA75" s="14" t="n">
        <f aca="false">IF(X75=0,0,V75/X75)</f>
        <v>0.168181895713579</v>
      </c>
      <c r="AB75" s="18" t="n">
        <f aca="false">IF(V75=0,0,X75/V75)</f>
        <v>5.94594320486815</v>
      </c>
    </row>
    <row r="76" customFormat="false" ht="15" hidden="false" customHeight="false" outlineLevel="0" collapsed="false">
      <c r="A76" s="5" t="s">
        <v>255</v>
      </c>
      <c r="B76" s="5" t="s">
        <v>256</v>
      </c>
      <c r="C76" s="5" t="s">
        <v>245</v>
      </c>
      <c r="D76" s="5" t="s">
        <v>257</v>
      </c>
      <c r="E76" s="5" t="s">
        <v>84</v>
      </c>
      <c r="F76" s="6" t="n">
        <v>12.17</v>
      </c>
      <c r="G76" s="6" t="n">
        <v>6.13</v>
      </c>
      <c r="H76" s="7" t="n">
        <v>0.1</v>
      </c>
      <c r="I76" s="6" t="n">
        <v>32.94</v>
      </c>
      <c r="J76" s="6" t="n">
        <v>32.94</v>
      </c>
      <c r="K76" s="6" t="n">
        <v>32.65</v>
      </c>
      <c r="L76" s="8" t="b">
        <f aca="false">TRUE()</f>
        <v>1</v>
      </c>
      <c r="M76" s="9" t="n">
        <v>12</v>
      </c>
      <c r="N76" s="9" t="n">
        <v>1526</v>
      </c>
      <c r="O76" s="9" t="n">
        <v>920</v>
      </c>
      <c r="P76" s="9" t="n">
        <v>227</v>
      </c>
      <c r="Q76" s="9" t="n">
        <v>88</v>
      </c>
      <c r="R76" s="10" t="n">
        <f aca="false">IF(Q76=0,999,O76/(Q76/7))</f>
        <v>73.1818181818182</v>
      </c>
      <c r="S76" s="5" t="s">
        <v>33</v>
      </c>
      <c r="T76" s="9" t="n">
        <v>102234</v>
      </c>
      <c r="U76" s="9" t="n">
        <v>767</v>
      </c>
      <c r="V76" s="6" t="n">
        <v>613.6</v>
      </c>
      <c r="W76" s="9" t="n">
        <v>137</v>
      </c>
      <c r="X76" s="6" t="n">
        <v>4512.78</v>
      </c>
      <c r="Y76" s="6" t="n">
        <v>0.8</v>
      </c>
      <c r="Z76" s="7" t="n">
        <f aca="false">IF(T76=0,0,U76/T76)</f>
        <v>0.00750239646301622</v>
      </c>
      <c r="AA76" s="7" t="n">
        <f aca="false">IF(X76=0,0,V76/X76)</f>
        <v>0.13596940245259</v>
      </c>
      <c r="AB76" s="11" t="n">
        <f aca="false">IF(V76=0,0,X76/V76)</f>
        <v>7.35459582790091</v>
      </c>
    </row>
    <row r="77" customFormat="false" ht="15" hidden="false" customHeight="false" outlineLevel="0" collapsed="false">
      <c r="A77" s="12" t="s">
        <v>258</v>
      </c>
      <c r="B77" s="12" t="s">
        <v>259</v>
      </c>
      <c r="C77" s="12" t="s">
        <v>245</v>
      </c>
      <c r="D77" s="12" t="s">
        <v>260</v>
      </c>
      <c r="E77" s="12" t="s">
        <v>84</v>
      </c>
      <c r="F77" s="13" t="n">
        <v>20.29</v>
      </c>
      <c r="G77" s="13" t="n">
        <v>7</v>
      </c>
      <c r="H77" s="14" t="n">
        <v>0.15</v>
      </c>
      <c r="I77" s="13" t="n">
        <v>61.11</v>
      </c>
      <c r="J77" s="13" t="n">
        <v>57.51</v>
      </c>
      <c r="K77" s="13" t="n">
        <v>58.5</v>
      </c>
      <c r="L77" s="15" t="b">
        <f aca="false">FALSE()</f>
        <v>0</v>
      </c>
      <c r="M77" s="16" t="n">
        <v>9</v>
      </c>
      <c r="N77" s="16" t="n">
        <v>37787</v>
      </c>
      <c r="O77" s="16" t="n">
        <v>199</v>
      </c>
      <c r="P77" s="16" t="n">
        <v>1072</v>
      </c>
      <c r="Q77" s="16" t="n">
        <v>305</v>
      </c>
      <c r="R77" s="17" t="n">
        <f aca="false">IF(Q77=0,999,O77/(Q77/7))</f>
        <v>4.5672131147541</v>
      </c>
      <c r="S77" s="12" t="s">
        <v>40</v>
      </c>
      <c r="T77" s="16" t="n">
        <v>47765</v>
      </c>
      <c r="U77" s="16" t="n">
        <v>229</v>
      </c>
      <c r="V77" s="13" t="n">
        <v>261.06</v>
      </c>
      <c r="W77" s="16" t="n">
        <v>15</v>
      </c>
      <c r="X77" s="13" t="n">
        <v>916.65</v>
      </c>
      <c r="Y77" s="13" t="n">
        <v>1.14</v>
      </c>
      <c r="Z77" s="14" t="n">
        <f aca="false">IF(T77=0,0,U77/T77)</f>
        <v>0.00479430545378415</v>
      </c>
      <c r="AA77" s="14" t="n">
        <f aca="false">IF(X77=0,0,V77/X77)</f>
        <v>0.284797905416462</v>
      </c>
      <c r="AB77" s="18" t="n">
        <f aca="false">IF(V77=0,0,X77/V77)</f>
        <v>3.5112617789014</v>
      </c>
    </row>
    <row r="78" customFormat="false" ht="15" hidden="false" customHeight="false" outlineLevel="0" collapsed="false">
      <c r="A78" s="5" t="s">
        <v>261</v>
      </c>
      <c r="B78" s="5" t="s">
        <v>262</v>
      </c>
      <c r="C78" s="5" t="s">
        <v>245</v>
      </c>
      <c r="D78" s="5" t="s">
        <v>263</v>
      </c>
      <c r="E78" s="5" t="s">
        <v>143</v>
      </c>
      <c r="F78" s="6" t="n">
        <v>15.77</v>
      </c>
      <c r="G78" s="6" t="n">
        <v>10.26</v>
      </c>
      <c r="H78" s="7" t="n">
        <v>0.15</v>
      </c>
      <c r="I78" s="6" t="n">
        <v>54.32</v>
      </c>
      <c r="J78" s="6" t="n">
        <v>54.32</v>
      </c>
      <c r="K78" s="6" t="n">
        <v>48.93</v>
      </c>
      <c r="L78" s="8" t="b">
        <f aca="false">TRUE()</f>
        <v>1</v>
      </c>
      <c r="M78" s="9" t="n">
        <v>5</v>
      </c>
      <c r="N78" s="9" t="n">
        <v>17860</v>
      </c>
      <c r="O78" s="9" t="n">
        <v>1162</v>
      </c>
      <c r="P78" s="9" t="n">
        <v>273</v>
      </c>
      <c r="Q78" s="9" t="n">
        <v>360</v>
      </c>
      <c r="R78" s="10" t="n">
        <f aca="false">IF(Q78=0,999,O78/(Q78/7))</f>
        <v>22.5944444444444</v>
      </c>
      <c r="S78" s="5" t="s">
        <v>40</v>
      </c>
      <c r="T78" s="9" t="n">
        <v>6311</v>
      </c>
      <c r="U78" s="9" t="n">
        <v>52</v>
      </c>
      <c r="V78" s="6" t="n">
        <v>44.72</v>
      </c>
      <c r="W78" s="9" t="n">
        <v>2</v>
      </c>
      <c r="X78" s="6" t="n">
        <v>108.64</v>
      </c>
      <c r="Y78" s="6" t="n">
        <v>0.86</v>
      </c>
      <c r="Z78" s="7" t="n">
        <f aca="false">IF(T78=0,0,U78/T78)</f>
        <v>0.00823958168277611</v>
      </c>
      <c r="AA78" s="7" t="n">
        <f aca="false">IF(X78=0,0,V78/X78)</f>
        <v>0.411634756995582</v>
      </c>
      <c r="AB78" s="11" t="n">
        <f aca="false">IF(V78=0,0,X78/V78)</f>
        <v>2.42933810375671</v>
      </c>
    </row>
    <row r="79" customFormat="false" ht="15" hidden="false" customHeight="false" outlineLevel="0" collapsed="false">
      <c r="A79" s="12" t="s">
        <v>264</v>
      </c>
      <c r="B79" s="12" t="s">
        <v>265</v>
      </c>
      <c r="C79" s="12" t="s">
        <v>245</v>
      </c>
      <c r="D79" s="12" t="s">
        <v>266</v>
      </c>
      <c r="E79" s="12" t="s">
        <v>143</v>
      </c>
      <c r="F79" s="13" t="n">
        <v>27.08</v>
      </c>
      <c r="G79" s="13" t="n">
        <v>3.82</v>
      </c>
      <c r="H79" s="14" t="n">
        <v>0.1</v>
      </c>
      <c r="I79" s="13" t="n">
        <v>88.46</v>
      </c>
      <c r="J79" s="13" t="n">
        <v>84.48</v>
      </c>
      <c r="K79" s="13" t="n">
        <v>87.86</v>
      </c>
      <c r="L79" s="15" t="b">
        <f aca="false">FALSE()</f>
        <v>0</v>
      </c>
      <c r="M79" s="16" t="n">
        <v>1</v>
      </c>
      <c r="N79" s="16" t="n">
        <v>52995</v>
      </c>
      <c r="O79" s="16" t="n">
        <v>396</v>
      </c>
      <c r="P79" s="16" t="n">
        <v>1112</v>
      </c>
      <c r="Q79" s="16" t="n">
        <v>51</v>
      </c>
      <c r="R79" s="17" t="n">
        <f aca="false">IF(Q79=0,999,O79/(Q79/7))</f>
        <v>54.3529411764706</v>
      </c>
      <c r="S79" s="12" t="s">
        <v>33</v>
      </c>
      <c r="T79" s="16" t="n">
        <v>62549</v>
      </c>
      <c r="U79" s="16" t="n">
        <v>438</v>
      </c>
      <c r="V79" s="13" t="n">
        <v>648.24</v>
      </c>
      <c r="W79" s="16" t="n">
        <v>40</v>
      </c>
      <c r="X79" s="13" t="n">
        <v>3538.4</v>
      </c>
      <c r="Y79" s="13" t="n">
        <v>1.48</v>
      </c>
      <c r="Z79" s="14" t="n">
        <f aca="false">IF(T79=0,0,U79/T79)</f>
        <v>0.00700251003213481</v>
      </c>
      <c r="AA79" s="14" t="n">
        <f aca="false">IF(X79=0,0,V79/X79)</f>
        <v>0.183201446981687</v>
      </c>
      <c r="AB79" s="18" t="n">
        <f aca="false">IF(V79=0,0,X79/V79)</f>
        <v>5.45847217080094</v>
      </c>
    </row>
    <row r="80" customFormat="false" ht="15" hidden="false" customHeight="false" outlineLevel="0" collapsed="false">
      <c r="A80" s="5" t="s">
        <v>267</v>
      </c>
      <c r="B80" s="5" t="s">
        <v>268</v>
      </c>
      <c r="C80" s="5" t="s">
        <v>245</v>
      </c>
      <c r="D80" s="5" t="s">
        <v>269</v>
      </c>
      <c r="E80" s="5" t="s">
        <v>143</v>
      </c>
      <c r="F80" s="6" t="n">
        <v>18.05</v>
      </c>
      <c r="G80" s="6" t="n">
        <v>5.95</v>
      </c>
      <c r="H80" s="7" t="n">
        <v>0.12</v>
      </c>
      <c r="I80" s="6" t="n">
        <v>78.96</v>
      </c>
      <c r="J80" s="6" t="n">
        <v>78.96</v>
      </c>
      <c r="K80" s="6" t="n">
        <v>79.74</v>
      </c>
      <c r="L80" s="8" t="b">
        <f aca="false">TRUE()</f>
        <v>1</v>
      </c>
      <c r="M80" s="9" t="n">
        <v>1</v>
      </c>
      <c r="N80" s="9" t="n">
        <v>105013</v>
      </c>
      <c r="O80" s="9" t="n">
        <v>3910</v>
      </c>
      <c r="P80" s="9" t="n">
        <v>752</v>
      </c>
      <c r="Q80" s="9" t="n">
        <v>457</v>
      </c>
      <c r="R80" s="10" t="n">
        <f aca="false">IF(Q80=0,999,O80/(Q80/7))</f>
        <v>59.890590809628</v>
      </c>
      <c r="S80" s="5" t="s">
        <v>33</v>
      </c>
      <c r="T80" s="9" t="n">
        <v>105002</v>
      </c>
      <c r="U80" s="9" t="n">
        <v>1071</v>
      </c>
      <c r="V80" s="6" t="n">
        <v>1660.05</v>
      </c>
      <c r="W80" s="9" t="n">
        <v>58</v>
      </c>
      <c r="X80" s="6" t="n">
        <v>4579.68</v>
      </c>
      <c r="Y80" s="6" t="n">
        <v>1.55</v>
      </c>
      <c r="Z80" s="7" t="n">
        <f aca="false">IF(T80=0,0,U80/T80)</f>
        <v>0.0101998057179863</v>
      </c>
      <c r="AA80" s="7" t="n">
        <f aca="false">IF(X80=0,0,V80/X80)</f>
        <v>0.362481658107117</v>
      </c>
      <c r="AB80" s="11" t="n">
        <f aca="false">IF(V80=0,0,X80/V80)</f>
        <v>2.75876027830487</v>
      </c>
    </row>
    <row r="81" customFormat="false" ht="15" hidden="false" customHeight="false" outlineLevel="0" collapsed="false">
      <c r="A81" s="12" t="s">
        <v>270</v>
      </c>
      <c r="B81" s="12" t="s">
        <v>271</v>
      </c>
      <c r="C81" s="12" t="s">
        <v>245</v>
      </c>
      <c r="D81" s="12" t="s">
        <v>272</v>
      </c>
      <c r="E81" s="12" t="s">
        <v>143</v>
      </c>
      <c r="F81" s="13" t="n">
        <v>17.74</v>
      </c>
      <c r="G81" s="13" t="n">
        <v>3.81</v>
      </c>
      <c r="H81" s="14" t="n">
        <v>0.12</v>
      </c>
      <c r="I81" s="13" t="n">
        <v>44.44</v>
      </c>
      <c r="J81" s="13" t="n">
        <v>44.44</v>
      </c>
      <c r="K81" s="13" t="n">
        <v>38.69</v>
      </c>
      <c r="L81" s="15" t="b">
        <f aca="false">TRUE()</f>
        <v>1</v>
      </c>
      <c r="M81" s="16" t="n">
        <v>5</v>
      </c>
      <c r="N81" s="16" t="n">
        <v>77650</v>
      </c>
      <c r="O81" s="16" t="n">
        <v>2666</v>
      </c>
      <c r="P81" s="16" t="n">
        <v>86</v>
      </c>
      <c r="Q81" s="16" t="n">
        <v>320</v>
      </c>
      <c r="R81" s="17" t="n">
        <f aca="false">IF(Q81=0,999,O81/(Q81/7))</f>
        <v>58.31875</v>
      </c>
      <c r="S81" s="12" t="s">
        <v>33</v>
      </c>
      <c r="T81" s="16" t="n">
        <v>95765</v>
      </c>
      <c r="U81" s="16" t="n">
        <v>1379</v>
      </c>
      <c r="V81" s="13" t="n">
        <v>1213.52</v>
      </c>
      <c r="W81" s="16" t="n">
        <v>61</v>
      </c>
      <c r="X81" s="13" t="n">
        <v>2710.84</v>
      </c>
      <c r="Y81" s="13" t="n">
        <v>0.88</v>
      </c>
      <c r="Z81" s="14" t="n">
        <f aca="false">IF(T81=0,0,U81/T81)</f>
        <v>0.0143998329243461</v>
      </c>
      <c r="AA81" s="14" t="n">
        <f aca="false">IF(X81=0,0,V81/X81)</f>
        <v>0.447654601525726</v>
      </c>
      <c r="AB81" s="18" t="n">
        <f aca="false">IF(V81=0,0,X81/V81)</f>
        <v>2.23386511965192</v>
      </c>
    </row>
    <row r="82" customFormat="false" ht="15" hidden="false" customHeight="false" outlineLevel="0" collapsed="false">
      <c r="A82" s="5" t="s">
        <v>273</v>
      </c>
      <c r="B82" s="5" t="s">
        <v>274</v>
      </c>
      <c r="C82" s="5" t="s">
        <v>275</v>
      </c>
      <c r="D82" s="5" t="s">
        <v>276</v>
      </c>
      <c r="E82" s="5" t="s">
        <v>203</v>
      </c>
      <c r="F82" s="6" t="n">
        <v>22.16</v>
      </c>
      <c r="G82" s="6" t="n">
        <v>3.26</v>
      </c>
      <c r="H82" s="7" t="n">
        <v>0.15</v>
      </c>
      <c r="I82" s="6" t="n">
        <v>61.15</v>
      </c>
      <c r="J82" s="6" t="n">
        <v>56.29</v>
      </c>
      <c r="K82" s="6" t="n">
        <v>58.25</v>
      </c>
      <c r="L82" s="8" t="b">
        <f aca="false">FALSE()</f>
        <v>0</v>
      </c>
      <c r="M82" s="9" t="n">
        <v>5</v>
      </c>
      <c r="N82" s="9" t="n">
        <v>8313</v>
      </c>
      <c r="O82" s="9" t="n">
        <v>353</v>
      </c>
      <c r="P82" s="9" t="n">
        <v>1321</v>
      </c>
      <c r="Q82" s="9" t="n">
        <v>153</v>
      </c>
      <c r="R82" s="10" t="n">
        <f aca="false">IF(Q82=0,999,O82/(Q82/7))</f>
        <v>16.1503267973856</v>
      </c>
      <c r="S82" s="5" t="s">
        <v>33</v>
      </c>
      <c r="T82" s="9" t="n">
        <v>48515</v>
      </c>
      <c r="U82" s="9" t="n">
        <v>403</v>
      </c>
      <c r="V82" s="6" t="n">
        <v>713.31</v>
      </c>
      <c r="W82" s="9" t="n">
        <v>89</v>
      </c>
      <c r="X82" s="6" t="n">
        <v>5442.35</v>
      </c>
      <c r="Y82" s="6" t="n">
        <v>1.77</v>
      </c>
      <c r="Z82" s="7" t="n">
        <f aca="false">IF(T82=0,0,U82/T82)</f>
        <v>0.00830670926517572</v>
      </c>
      <c r="AA82" s="7" t="n">
        <f aca="false">IF(X82=0,0,V82/X82)</f>
        <v>0.131066542945603</v>
      </c>
      <c r="AB82" s="11" t="n">
        <f aca="false">IF(V82=0,0,X82/V82)</f>
        <v>7.62971218684723</v>
      </c>
    </row>
    <row r="83" customFormat="false" ht="15" hidden="false" customHeight="false" outlineLevel="0" collapsed="false">
      <c r="A83" s="12" t="s">
        <v>277</v>
      </c>
      <c r="B83" s="12" t="s">
        <v>278</v>
      </c>
      <c r="C83" s="12" t="s">
        <v>275</v>
      </c>
      <c r="D83" s="12" t="s">
        <v>279</v>
      </c>
      <c r="E83" s="12" t="s">
        <v>203</v>
      </c>
      <c r="F83" s="13" t="n">
        <v>25.13</v>
      </c>
      <c r="G83" s="13" t="n">
        <v>4.67</v>
      </c>
      <c r="H83" s="14" t="n">
        <v>0.08</v>
      </c>
      <c r="I83" s="13" t="n">
        <v>64.31</v>
      </c>
      <c r="J83" s="13" t="n">
        <v>64.31</v>
      </c>
      <c r="K83" s="13" t="n">
        <v>56.43</v>
      </c>
      <c r="L83" s="15" t="b">
        <f aca="false">TRUE()</f>
        <v>1</v>
      </c>
      <c r="M83" s="16" t="n">
        <v>9</v>
      </c>
      <c r="N83" s="16" t="n">
        <v>82564</v>
      </c>
      <c r="O83" s="16" t="n">
        <v>2502</v>
      </c>
      <c r="P83" s="16" t="n">
        <v>1150</v>
      </c>
      <c r="Q83" s="16" t="n">
        <v>292</v>
      </c>
      <c r="R83" s="17" t="n">
        <f aca="false">IF(Q83=0,999,O83/(Q83/7))</f>
        <v>59.9794520547945</v>
      </c>
      <c r="S83" s="12" t="s">
        <v>33</v>
      </c>
      <c r="T83" s="16" t="n">
        <v>15935</v>
      </c>
      <c r="U83" s="16" t="n">
        <v>113</v>
      </c>
      <c r="V83" s="13" t="n">
        <v>83.62</v>
      </c>
      <c r="W83" s="16" t="n">
        <v>5</v>
      </c>
      <c r="X83" s="13" t="n">
        <v>321.55</v>
      </c>
      <c r="Y83" s="13" t="n">
        <v>0.74</v>
      </c>
      <c r="Z83" s="14" t="n">
        <f aca="false">IF(T83=0,0,U83/T83)</f>
        <v>0.00709130844053969</v>
      </c>
      <c r="AA83" s="14" t="n">
        <f aca="false">IF(X83=0,0,V83/X83)</f>
        <v>0.260052868916187</v>
      </c>
      <c r="AB83" s="18" t="n">
        <f aca="false">IF(V83=0,0,X83/V83)</f>
        <v>3.84537192059316</v>
      </c>
    </row>
    <row r="84" customFormat="false" ht="15" hidden="false" customHeight="false" outlineLevel="0" collapsed="false">
      <c r="A84" s="5" t="s">
        <v>280</v>
      </c>
      <c r="B84" s="5" t="s">
        <v>281</v>
      </c>
      <c r="C84" s="5" t="s">
        <v>275</v>
      </c>
      <c r="D84" s="5" t="s">
        <v>282</v>
      </c>
      <c r="E84" s="5" t="s">
        <v>203</v>
      </c>
      <c r="F84" s="6" t="n">
        <v>12.64</v>
      </c>
      <c r="G84" s="6" t="n">
        <v>5.21</v>
      </c>
      <c r="H84" s="7" t="n">
        <v>0.08</v>
      </c>
      <c r="I84" s="6" t="n">
        <v>32.84</v>
      </c>
      <c r="J84" s="6" t="n">
        <v>32.84</v>
      </c>
      <c r="K84" s="6" t="n">
        <v>33.52</v>
      </c>
      <c r="L84" s="8" t="b">
        <f aca="false">TRUE()</f>
        <v>1</v>
      </c>
      <c r="M84" s="9" t="n">
        <v>2</v>
      </c>
      <c r="N84" s="9" t="n">
        <v>116833</v>
      </c>
      <c r="O84" s="9" t="n">
        <v>94</v>
      </c>
      <c r="P84" s="9" t="n">
        <v>1126</v>
      </c>
      <c r="Q84" s="9" t="n">
        <v>96</v>
      </c>
      <c r="R84" s="10" t="n">
        <f aca="false">IF(Q84=0,999,O84/(Q84/7))</f>
        <v>6.85416666666667</v>
      </c>
      <c r="S84" s="5" t="s">
        <v>33</v>
      </c>
      <c r="T84" s="9" t="n">
        <v>71563</v>
      </c>
      <c r="U84" s="9" t="n">
        <v>537</v>
      </c>
      <c r="V84" s="6" t="n">
        <v>429.6</v>
      </c>
      <c r="W84" s="9" t="n">
        <v>76</v>
      </c>
      <c r="X84" s="6" t="n">
        <v>2495.84</v>
      </c>
      <c r="Y84" s="6" t="n">
        <v>0.8</v>
      </c>
      <c r="Z84" s="7" t="n">
        <f aca="false">IF(T84=0,0,U84/T84)</f>
        <v>0.00750387770216453</v>
      </c>
      <c r="AA84" s="7" t="n">
        <f aca="false">IF(X84=0,0,V84/X84)</f>
        <v>0.172126418360151</v>
      </c>
      <c r="AB84" s="11" t="n">
        <f aca="false">IF(V84=0,0,X84/V84)</f>
        <v>5.8096834264432</v>
      </c>
    </row>
    <row r="85" customFormat="false" ht="15" hidden="false" customHeight="false" outlineLevel="0" collapsed="false">
      <c r="A85" s="12" t="s">
        <v>283</v>
      </c>
      <c r="B85" s="12" t="s">
        <v>284</v>
      </c>
      <c r="C85" s="12" t="s">
        <v>275</v>
      </c>
      <c r="D85" s="12" t="s">
        <v>279</v>
      </c>
      <c r="E85" s="12" t="s">
        <v>203</v>
      </c>
      <c r="F85" s="13" t="n">
        <v>22.9</v>
      </c>
      <c r="G85" s="13" t="n">
        <v>3.55</v>
      </c>
      <c r="H85" s="14" t="n">
        <v>0.1</v>
      </c>
      <c r="I85" s="13" t="n">
        <v>73.49</v>
      </c>
      <c r="J85" s="13" t="n">
        <v>62</v>
      </c>
      <c r="K85" s="13" t="n">
        <v>64.51</v>
      </c>
      <c r="L85" s="15" t="b">
        <f aca="false">FALSE()</f>
        <v>0</v>
      </c>
      <c r="M85" s="16" t="n">
        <v>12</v>
      </c>
      <c r="N85" s="16" t="n">
        <v>145383</v>
      </c>
      <c r="O85" s="16" t="n">
        <v>357</v>
      </c>
      <c r="P85" s="16" t="n">
        <v>134</v>
      </c>
      <c r="Q85" s="16" t="n">
        <v>593</v>
      </c>
      <c r="R85" s="17" t="n">
        <f aca="false">IF(Q85=0,999,O85/(Q85/7))</f>
        <v>4.2141652613828</v>
      </c>
      <c r="S85" s="12" t="s">
        <v>33</v>
      </c>
      <c r="T85" s="16" t="n">
        <v>41039</v>
      </c>
      <c r="U85" s="16" t="n">
        <v>361</v>
      </c>
      <c r="V85" s="13" t="n">
        <v>516.23</v>
      </c>
      <c r="W85" s="16" t="n">
        <v>25</v>
      </c>
      <c r="X85" s="13" t="n">
        <v>1837.25</v>
      </c>
      <c r="Y85" s="13" t="n">
        <v>1.43</v>
      </c>
      <c r="Z85" s="14" t="n">
        <f aca="false">IF(T85=0,0,U85/T85)</f>
        <v>0.00879651063622408</v>
      </c>
      <c r="AA85" s="14" t="n">
        <f aca="false">IF(X85=0,0,V85/X85)</f>
        <v>0.280979725132671</v>
      </c>
      <c r="AB85" s="18" t="n">
        <f aca="false">IF(V85=0,0,X85/V85)</f>
        <v>3.55897565038839</v>
      </c>
    </row>
    <row r="86" customFormat="false" ht="15" hidden="false" customHeight="false" outlineLevel="0" collapsed="false">
      <c r="A86" s="5" t="s">
        <v>285</v>
      </c>
      <c r="B86" s="5" t="s">
        <v>286</v>
      </c>
      <c r="C86" s="5" t="s">
        <v>275</v>
      </c>
      <c r="D86" s="5" t="s">
        <v>287</v>
      </c>
      <c r="E86" s="5" t="s">
        <v>203</v>
      </c>
      <c r="F86" s="6" t="n">
        <v>26.33</v>
      </c>
      <c r="G86" s="6" t="n">
        <v>3.33</v>
      </c>
      <c r="H86" s="7" t="n">
        <v>0.12</v>
      </c>
      <c r="I86" s="6" t="n">
        <v>71.52</v>
      </c>
      <c r="J86" s="6" t="n">
        <v>71.52</v>
      </c>
      <c r="K86" s="6" t="n">
        <v>61.85</v>
      </c>
      <c r="L86" s="8" t="b">
        <f aca="false">TRUE()</f>
        <v>1</v>
      </c>
      <c r="M86" s="9" t="n">
        <v>10</v>
      </c>
      <c r="N86" s="9" t="n">
        <v>135772</v>
      </c>
      <c r="O86" s="9" t="n">
        <v>921</v>
      </c>
      <c r="P86" s="9" t="n">
        <v>886</v>
      </c>
      <c r="Q86" s="9" t="n">
        <v>359</v>
      </c>
      <c r="R86" s="10" t="n">
        <f aca="false">IF(Q86=0,999,O86/(Q86/7))</f>
        <v>17.958217270195</v>
      </c>
      <c r="S86" s="5" t="s">
        <v>33</v>
      </c>
      <c r="T86" s="9" t="n">
        <v>66411</v>
      </c>
      <c r="U86" s="9" t="n">
        <v>990</v>
      </c>
      <c r="V86" s="6" t="n">
        <v>425.7</v>
      </c>
      <c r="W86" s="9" t="n">
        <v>37</v>
      </c>
      <c r="X86" s="6" t="n">
        <v>2646.24</v>
      </c>
      <c r="Y86" s="6" t="n">
        <v>0.43</v>
      </c>
      <c r="Z86" s="7" t="n">
        <f aca="false">IF(T86=0,0,U86/T86)</f>
        <v>0.0149071689930885</v>
      </c>
      <c r="AA86" s="7" t="n">
        <f aca="false">IF(X86=0,0,V86/X86)</f>
        <v>0.16086976237983</v>
      </c>
      <c r="AB86" s="11" t="n">
        <f aca="false">IF(V86=0,0,X86/V86)</f>
        <v>6.21620859760395</v>
      </c>
    </row>
    <row r="87" customFormat="false" ht="15" hidden="false" customHeight="false" outlineLevel="0" collapsed="false">
      <c r="A87" s="12" t="s">
        <v>288</v>
      </c>
      <c r="B87" s="12" t="s">
        <v>289</v>
      </c>
      <c r="C87" s="12" t="s">
        <v>275</v>
      </c>
      <c r="D87" s="12" t="s">
        <v>279</v>
      </c>
      <c r="E87" s="12" t="s">
        <v>203</v>
      </c>
      <c r="F87" s="13" t="n">
        <v>8.55</v>
      </c>
      <c r="G87" s="13" t="n">
        <v>7.21</v>
      </c>
      <c r="H87" s="14" t="n">
        <v>0.1</v>
      </c>
      <c r="I87" s="13" t="n">
        <v>34.32</v>
      </c>
      <c r="J87" s="13" t="n">
        <v>34.32</v>
      </c>
      <c r="K87" s="13" t="n">
        <v>35.68</v>
      </c>
      <c r="L87" s="15" t="b">
        <f aca="false">TRUE()</f>
        <v>1</v>
      </c>
      <c r="M87" s="16" t="n">
        <v>5</v>
      </c>
      <c r="N87" s="16" t="n">
        <v>74611</v>
      </c>
      <c r="O87" s="16" t="n">
        <v>420</v>
      </c>
      <c r="P87" s="16" t="n">
        <v>1258</v>
      </c>
      <c r="Q87" s="16" t="n">
        <v>87</v>
      </c>
      <c r="R87" s="17" t="n">
        <f aca="false">IF(Q87=0,999,O87/(Q87/7))</f>
        <v>33.7931034482759</v>
      </c>
      <c r="S87" s="12" t="s">
        <v>33</v>
      </c>
      <c r="T87" s="16" t="n">
        <v>70424</v>
      </c>
      <c r="U87" s="16" t="n">
        <v>359</v>
      </c>
      <c r="V87" s="13" t="n">
        <v>470.29</v>
      </c>
      <c r="W87" s="16" t="n">
        <v>43</v>
      </c>
      <c r="X87" s="13" t="n">
        <v>1475.76</v>
      </c>
      <c r="Y87" s="13" t="n">
        <v>1.31</v>
      </c>
      <c r="Z87" s="14" t="n">
        <f aca="false">IF(T87=0,0,U87/T87)</f>
        <v>0.00509769396796547</v>
      </c>
      <c r="AA87" s="14" t="n">
        <f aca="false">IF(X87=0,0,V87/X87)</f>
        <v>0.3186764785602</v>
      </c>
      <c r="AB87" s="18" t="n">
        <f aca="false">IF(V87=0,0,X87/V87)</f>
        <v>3.13797869399732</v>
      </c>
    </row>
    <row r="88" customFormat="false" ht="15" hidden="false" customHeight="false" outlineLevel="0" collapsed="false">
      <c r="A88" s="5" t="s">
        <v>290</v>
      </c>
      <c r="B88" s="5" t="s">
        <v>291</v>
      </c>
      <c r="C88" s="5" t="s">
        <v>275</v>
      </c>
      <c r="D88" s="5" t="s">
        <v>292</v>
      </c>
      <c r="E88" s="5" t="s">
        <v>53</v>
      </c>
      <c r="F88" s="6" t="n">
        <v>7.56</v>
      </c>
      <c r="G88" s="6" t="n">
        <v>6.24</v>
      </c>
      <c r="H88" s="7" t="n">
        <v>0.12</v>
      </c>
      <c r="I88" s="6" t="n">
        <v>22.33</v>
      </c>
      <c r="J88" s="6" t="n">
        <v>18.46</v>
      </c>
      <c r="K88" s="6" t="n">
        <v>19.16</v>
      </c>
      <c r="L88" s="8" t="b">
        <f aca="false">FALSE()</f>
        <v>0</v>
      </c>
      <c r="M88" s="9" t="n">
        <v>9</v>
      </c>
      <c r="N88" s="9" t="n">
        <v>168303</v>
      </c>
      <c r="O88" s="9" t="n">
        <v>306</v>
      </c>
      <c r="P88" s="9" t="n">
        <v>1019</v>
      </c>
      <c r="Q88" s="9" t="n">
        <v>597</v>
      </c>
      <c r="R88" s="10" t="n">
        <f aca="false">IF(Q88=0,999,O88/(Q88/7))</f>
        <v>3.58793969849246</v>
      </c>
      <c r="S88" s="5" t="s">
        <v>33</v>
      </c>
      <c r="T88" s="9" t="n">
        <v>117022</v>
      </c>
      <c r="U88" s="9" t="n">
        <v>1346</v>
      </c>
      <c r="V88" s="6" t="n">
        <v>1049.88</v>
      </c>
      <c r="W88" s="9" t="n">
        <v>108</v>
      </c>
      <c r="X88" s="6" t="n">
        <v>2411.64</v>
      </c>
      <c r="Y88" s="6" t="n">
        <v>0.78</v>
      </c>
      <c r="Z88" s="7" t="n">
        <f aca="false">IF(T88=0,0,U88/T88)</f>
        <v>0.0115021107142247</v>
      </c>
      <c r="AA88" s="7" t="n">
        <f aca="false">IF(X88=0,0,V88/X88)</f>
        <v>0.435338607752401</v>
      </c>
      <c r="AB88" s="11" t="n">
        <f aca="false">IF(V88=0,0,X88/V88)</f>
        <v>2.29706252143102</v>
      </c>
    </row>
    <row r="89" customFormat="false" ht="15" hidden="false" customHeight="false" outlineLevel="0" collapsed="false">
      <c r="A89" s="12" t="s">
        <v>293</v>
      </c>
      <c r="B89" s="12" t="s">
        <v>294</v>
      </c>
      <c r="C89" s="12" t="s">
        <v>275</v>
      </c>
      <c r="D89" s="12" t="s">
        <v>295</v>
      </c>
      <c r="E89" s="12" t="s">
        <v>53</v>
      </c>
      <c r="F89" s="13" t="n">
        <v>10.81</v>
      </c>
      <c r="G89" s="13" t="n">
        <v>4.83</v>
      </c>
      <c r="H89" s="14" t="n">
        <v>0.15</v>
      </c>
      <c r="I89" s="13" t="n">
        <v>29.58</v>
      </c>
      <c r="J89" s="13" t="n">
        <v>29.58</v>
      </c>
      <c r="K89" s="13" t="n">
        <v>29.22</v>
      </c>
      <c r="L89" s="15" t="b">
        <f aca="false">TRUE()</f>
        <v>1</v>
      </c>
      <c r="M89" s="16" t="n">
        <v>1</v>
      </c>
      <c r="N89" s="16" t="n">
        <v>109102</v>
      </c>
      <c r="O89" s="16" t="n">
        <v>1692</v>
      </c>
      <c r="P89" s="16" t="n">
        <v>707</v>
      </c>
      <c r="Q89" s="16" t="n">
        <v>502</v>
      </c>
      <c r="R89" s="17" t="n">
        <f aca="false">IF(Q89=0,999,O89/(Q89/7))</f>
        <v>23.593625498008</v>
      </c>
      <c r="S89" s="12" t="s">
        <v>33</v>
      </c>
      <c r="T89" s="16" t="n">
        <v>52760</v>
      </c>
      <c r="U89" s="16" t="n">
        <v>295</v>
      </c>
      <c r="V89" s="13" t="n">
        <v>268.45</v>
      </c>
      <c r="W89" s="16" t="n">
        <v>30</v>
      </c>
      <c r="X89" s="13" t="n">
        <v>887.4</v>
      </c>
      <c r="Y89" s="13" t="n">
        <v>0.91</v>
      </c>
      <c r="Z89" s="14" t="n">
        <f aca="false">IF(T89=0,0,U89/T89)</f>
        <v>0.00559135708870356</v>
      </c>
      <c r="AA89" s="14" t="n">
        <f aca="false">IF(X89=0,0,V89/X89)</f>
        <v>0.302512959206671</v>
      </c>
      <c r="AB89" s="18" t="n">
        <f aca="false">IF(V89=0,0,X89/V89)</f>
        <v>3.30564350903334</v>
      </c>
    </row>
    <row r="90" customFormat="false" ht="15" hidden="false" customHeight="false" outlineLevel="0" collapsed="false">
      <c r="A90" s="5" t="s">
        <v>296</v>
      </c>
      <c r="B90" s="5" t="s">
        <v>297</v>
      </c>
      <c r="C90" s="5" t="s">
        <v>275</v>
      </c>
      <c r="D90" s="5" t="s">
        <v>298</v>
      </c>
      <c r="E90" s="5" t="s">
        <v>53</v>
      </c>
      <c r="F90" s="6" t="n">
        <v>7.1</v>
      </c>
      <c r="G90" s="6" t="n">
        <v>5.02</v>
      </c>
      <c r="H90" s="7" t="n">
        <v>0.1</v>
      </c>
      <c r="I90" s="6" t="n">
        <v>29.33</v>
      </c>
      <c r="J90" s="6" t="n">
        <v>25.09</v>
      </c>
      <c r="K90" s="6" t="n">
        <v>25.23</v>
      </c>
      <c r="L90" s="8" t="b">
        <f aca="false">FALSE()</f>
        <v>0</v>
      </c>
      <c r="M90" s="9" t="n">
        <v>1</v>
      </c>
      <c r="N90" s="9" t="n">
        <v>109761</v>
      </c>
      <c r="O90" s="9" t="n">
        <v>1504</v>
      </c>
      <c r="P90" s="9" t="n">
        <v>388</v>
      </c>
      <c r="Q90" s="9" t="n">
        <v>261</v>
      </c>
      <c r="R90" s="10" t="n">
        <f aca="false">IF(Q90=0,999,O90/(Q90/7))</f>
        <v>40.3371647509579</v>
      </c>
      <c r="S90" s="5" t="s">
        <v>33</v>
      </c>
      <c r="T90" s="9" t="n">
        <v>100523</v>
      </c>
      <c r="U90" s="9" t="n">
        <v>593</v>
      </c>
      <c r="V90" s="6" t="n">
        <v>1091.12</v>
      </c>
      <c r="W90" s="9" t="n">
        <v>136</v>
      </c>
      <c r="X90" s="6" t="n">
        <v>3988.88</v>
      </c>
      <c r="Y90" s="6" t="n">
        <v>1.84</v>
      </c>
      <c r="Z90" s="7" t="n">
        <f aca="false">IF(T90=0,0,U90/T90)</f>
        <v>0.00589914745879053</v>
      </c>
      <c r="AA90" s="7" t="n">
        <f aca="false">IF(X90=0,0,V90/X90)</f>
        <v>0.273540442429955</v>
      </c>
      <c r="AB90" s="11" t="n">
        <f aca="false">IF(V90=0,0,X90/V90)</f>
        <v>3.65576655179999</v>
      </c>
    </row>
    <row r="91" customFormat="false" ht="15" hidden="false" customHeight="false" outlineLevel="0" collapsed="false">
      <c r="A91" s="12" t="s">
        <v>299</v>
      </c>
      <c r="B91" s="12" t="s">
        <v>300</v>
      </c>
      <c r="C91" s="12" t="s">
        <v>275</v>
      </c>
      <c r="D91" s="12" t="s">
        <v>301</v>
      </c>
      <c r="E91" s="12" t="s">
        <v>53</v>
      </c>
      <c r="F91" s="13" t="n">
        <v>11.76</v>
      </c>
      <c r="G91" s="13" t="n">
        <v>4.77</v>
      </c>
      <c r="H91" s="14" t="n">
        <v>0.15</v>
      </c>
      <c r="I91" s="13" t="n">
        <v>49.78</v>
      </c>
      <c r="J91" s="13" t="n">
        <v>49.78</v>
      </c>
      <c r="K91" s="13" t="n">
        <v>44.45</v>
      </c>
      <c r="L91" s="15" t="b">
        <f aca="false">TRUE()</f>
        <v>1</v>
      </c>
      <c r="M91" s="16" t="n">
        <v>3</v>
      </c>
      <c r="N91" s="16" t="n">
        <v>13398</v>
      </c>
      <c r="O91" s="16" t="n">
        <v>209</v>
      </c>
      <c r="P91" s="16" t="n">
        <v>220</v>
      </c>
      <c r="Q91" s="16" t="n">
        <v>295</v>
      </c>
      <c r="R91" s="17" t="n">
        <f aca="false">IF(Q91=0,999,O91/(Q91/7))</f>
        <v>4.95932203389831</v>
      </c>
      <c r="S91" s="12" t="s">
        <v>33</v>
      </c>
      <c r="T91" s="16" t="n">
        <v>56982</v>
      </c>
      <c r="U91" s="16" t="n">
        <v>319</v>
      </c>
      <c r="V91" s="13" t="n">
        <v>239.25</v>
      </c>
      <c r="W91" s="16" t="n">
        <v>20</v>
      </c>
      <c r="X91" s="13" t="n">
        <v>995.6</v>
      </c>
      <c r="Y91" s="13" t="n">
        <v>0.75</v>
      </c>
      <c r="Z91" s="14" t="n">
        <f aca="false">IF(T91=0,0,U91/T91)</f>
        <v>0.00559825909936471</v>
      </c>
      <c r="AA91" s="14" t="n">
        <f aca="false">IF(X91=0,0,V91/X91)</f>
        <v>0.240307352350342</v>
      </c>
      <c r="AB91" s="18" t="n">
        <f aca="false">IF(V91=0,0,X91/V91)</f>
        <v>4.16133751306165</v>
      </c>
    </row>
    <row r="92" customFormat="false" ht="15" hidden="false" customHeight="false" outlineLevel="0" collapsed="false">
      <c r="A92" s="5" t="s">
        <v>302</v>
      </c>
      <c r="B92" s="5" t="s">
        <v>303</v>
      </c>
      <c r="C92" s="5" t="s">
        <v>304</v>
      </c>
      <c r="D92" s="5" t="s">
        <v>305</v>
      </c>
      <c r="E92" s="5" t="s">
        <v>143</v>
      </c>
      <c r="F92" s="6" t="n">
        <v>11.47</v>
      </c>
      <c r="G92" s="6" t="n">
        <v>5.57</v>
      </c>
      <c r="H92" s="7" t="n">
        <v>0.1</v>
      </c>
      <c r="I92" s="6" t="n">
        <v>39.26</v>
      </c>
      <c r="J92" s="6" t="n">
        <v>39.26</v>
      </c>
      <c r="K92" s="6" t="n">
        <v>37.71</v>
      </c>
      <c r="L92" s="8" t="b">
        <f aca="false">TRUE()</f>
        <v>1</v>
      </c>
      <c r="M92" s="9" t="n">
        <v>5</v>
      </c>
      <c r="N92" s="9" t="n">
        <v>132337</v>
      </c>
      <c r="O92" s="9" t="n">
        <v>440</v>
      </c>
      <c r="P92" s="9" t="n">
        <v>263</v>
      </c>
      <c r="Q92" s="9" t="n">
        <v>468</v>
      </c>
      <c r="R92" s="10" t="n">
        <f aca="false">IF(Q92=0,999,O92/(Q92/7))</f>
        <v>6.58119658119658</v>
      </c>
      <c r="S92" s="5" t="s">
        <v>33</v>
      </c>
      <c r="T92" s="9" t="n">
        <v>13172</v>
      </c>
      <c r="U92" s="9" t="n">
        <v>115</v>
      </c>
      <c r="V92" s="6" t="n">
        <v>177.1</v>
      </c>
      <c r="W92" s="9" t="n">
        <v>19</v>
      </c>
      <c r="X92" s="6" t="n">
        <v>745.94</v>
      </c>
      <c r="Y92" s="6" t="n">
        <v>1.54</v>
      </c>
      <c r="Z92" s="7" t="n">
        <f aca="false">IF(T92=0,0,U92/T92)</f>
        <v>0.00873064075311266</v>
      </c>
      <c r="AA92" s="7" t="n">
        <f aca="false">IF(X92=0,0,V92/X92)</f>
        <v>0.237418559133442</v>
      </c>
      <c r="AB92" s="11" t="n">
        <f aca="false">IF(V92=0,0,X92/V92)</f>
        <v>4.2119706380576</v>
      </c>
    </row>
    <row r="93" customFormat="false" ht="15" hidden="false" customHeight="false" outlineLevel="0" collapsed="false">
      <c r="A93" s="12" t="s">
        <v>306</v>
      </c>
      <c r="B93" s="12" t="s">
        <v>307</v>
      </c>
      <c r="C93" s="12" t="s">
        <v>304</v>
      </c>
      <c r="D93" s="12" t="s">
        <v>308</v>
      </c>
      <c r="E93" s="12" t="s">
        <v>143</v>
      </c>
      <c r="F93" s="13" t="n">
        <v>18.01</v>
      </c>
      <c r="G93" s="13" t="n">
        <v>5.29</v>
      </c>
      <c r="H93" s="14" t="n">
        <v>0.08</v>
      </c>
      <c r="I93" s="13" t="n">
        <v>70.39</v>
      </c>
      <c r="J93" s="13" t="n">
        <v>70.39</v>
      </c>
      <c r="K93" s="13" t="n">
        <v>70.39</v>
      </c>
      <c r="L93" s="15" t="b">
        <f aca="false">TRUE()</f>
        <v>1</v>
      </c>
      <c r="M93" s="16" t="n">
        <v>0</v>
      </c>
      <c r="N93" s="16" t="n">
        <v>87454</v>
      </c>
      <c r="O93" s="16" t="n">
        <v>2975</v>
      </c>
      <c r="P93" s="16" t="n">
        <v>332</v>
      </c>
      <c r="Q93" s="16" t="n">
        <v>492</v>
      </c>
      <c r="R93" s="17" t="n">
        <f aca="false">IF(Q93=0,999,O93/(Q93/7))</f>
        <v>42.3272357723577</v>
      </c>
      <c r="S93" s="12" t="s">
        <v>33</v>
      </c>
      <c r="T93" s="16" t="n">
        <v>52005</v>
      </c>
      <c r="U93" s="16" t="n">
        <v>827</v>
      </c>
      <c r="V93" s="13" t="n">
        <v>1207.42</v>
      </c>
      <c r="W93" s="16" t="n">
        <v>78</v>
      </c>
      <c r="X93" s="13" t="n">
        <v>5490.42</v>
      </c>
      <c r="Y93" s="13" t="n">
        <v>1.46</v>
      </c>
      <c r="Z93" s="14" t="n">
        <f aca="false">IF(T93=0,0,U93/T93)</f>
        <v>0.0159023170848957</v>
      </c>
      <c r="AA93" s="14" t="n">
        <f aca="false">IF(X93=0,0,V93/X93)</f>
        <v>0.21991395922352</v>
      </c>
      <c r="AB93" s="18" t="n">
        <f aca="false">IF(V93=0,0,X93/V93)</f>
        <v>4.54723294296931</v>
      </c>
    </row>
    <row r="94" customFormat="false" ht="15" hidden="false" customHeight="false" outlineLevel="0" collapsed="false">
      <c r="A94" s="5" t="s">
        <v>309</v>
      </c>
      <c r="B94" s="5" t="s">
        <v>310</v>
      </c>
      <c r="C94" s="5" t="s">
        <v>304</v>
      </c>
      <c r="D94" s="5" t="s">
        <v>308</v>
      </c>
      <c r="E94" s="5" t="s">
        <v>143</v>
      </c>
      <c r="F94" s="6" t="n">
        <v>15.77</v>
      </c>
      <c r="G94" s="6" t="n">
        <v>5.2</v>
      </c>
      <c r="H94" s="7" t="n">
        <v>0.12</v>
      </c>
      <c r="I94" s="6" t="n">
        <v>50.58</v>
      </c>
      <c r="J94" s="6" t="n">
        <v>50.58</v>
      </c>
      <c r="K94" s="6" t="n">
        <v>51.25</v>
      </c>
      <c r="L94" s="8" t="b">
        <f aca="false">TRUE()</f>
        <v>1</v>
      </c>
      <c r="M94" s="9" t="n">
        <v>7</v>
      </c>
      <c r="N94" s="9" t="n">
        <v>176784</v>
      </c>
      <c r="O94" s="9" t="n">
        <v>134</v>
      </c>
      <c r="P94" s="9" t="n">
        <v>1222</v>
      </c>
      <c r="Q94" s="9" t="n">
        <v>119</v>
      </c>
      <c r="R94" s="10" t="n">
        <f aca="false">IF(Q94=0,999,O94/(Q94/7))</f>
        <v>7.88235294117647</v>
      </c>
      <c r="S94" s="5" t="s">
        <v>33</v>
      </c>
      <c r="T94" s="9" t="n">
        <v>62705</v>
      </c>
      <c r="U94" s="9" t="n">
        <v>451</v>
      </c>
      <c r="V94" s="6" t="n">
        <v>599.83</v>
      </c>
      <c r="W94" s="9" t="n">
        <v>27</v>
      </c>
      <c r="X94" s="6" t="n">
        <v>1365.66</v>
      </c>
      <c r="Y94" s="6" t="n">
        <v>1.33</v>
      </c>
      <c r="Z94" s="7" t="n">
        <f aca="false">IF(T94=0,0,U94/T94)</f>
        <v>0.0071924088988119</v>
      </c>
      <c r="AA94" s="7" t="n">
        <f aca="false">IF(X94=0,0,V94/X94)</f>
        <v>0.439223525621311</v>
      </c>
      <c r="AB94" s="11" t="n">
        <f aca="false">IF(V94=0,0,X94/V94)</f>
        <v>2.27674507777204</v>
      </c>
    </row>
    <row r="95" customFormat="false" ht="15" hidden="false" customHeight="false" outlineLevel="0" collapsed="false">
      <c r="A95" s="12" t="s">
        <v>311</v>
      </c>
      <c r="B95" s="12" t="s">
        <v>312</v>
      </c>
      <c r="C95" s="12" t="s">
        <v>304</v>
      </c>
      <c r="D95" s="12" t="s">
        <v>313</v>
      </c>
      <c r="E95" s="12" t="s">
        <v>143</v>
      </c>
      <c r="F95" s="13" t="n">
        <v>19.66</v>
      </c>
      <c r="G95" s="13" t="n">
        <v>5.63</v>
      </c>
      <c r="H95" s="14" t="n">
        <v>0.1</v>
      </c>
      <c r="I95" s="13" t="n">
        <v>56.2</v>
      </c>
      <c r="J95" s="13" t="n">
        <v>56.2</v>
      </c>
      <c r="K95" s="13" t="n">
        <v>54.84</v>
      </c>
      <c r="L95" s="15" t="b">
        <f aca="false">TRUE()</f>
        <v>1</v>
      </c>
      <c r="M95" s="16" t="n">
        <v>8</v>
      </c>
      <c r="N95" s="16" t="n">
        <v>99814</v>
      </c>
      <c r="O95" s="16" t="n">
        <v>246</v>
      </c>
      <c r="P95" s="16" t="n">
        <v>38</v>
      </c>
      <c r="Q95" s="16" t="n">
        <v>158</v>
      </c>
      <c r="R95" s="17" t="n">
        <f aca="false">IF(Q95=0,999,O95/(Q95/7))</f>
        <v>10.8987341772152</v>
      </c>
      <c r="S95" s="12" t="s">
        <v>33</v>
      </c>
      <c r="T95" s="16" t="n">
        <v>58307</v>
      </c>
      <c r="U95" s="16" t="n">
        <v>455</v>
      </c>
      <c r="V95" s="13" t="n">
        <v>263.9</v>
      </c>
      <c r="W95" s="16" t="n">
        <v>13</v>
      </c>
      <c r="X95" s="13" t="n">
        <v>730.6</v>
      </c>
      <c r="Y95" s="13" t="n">
        <v>0.58</v>
      </c>
      <c r="Z95" s="14" t="n">
        <f aca="false">IF(T95=0,0,U95/T95)</f>
        <v>0.00780352273311952</v>
      </c>
      <c r="AA95" s="14" t="n">
        <f aca="false">IF(X95=0,0,V95/X95)</f>
        <v>0.361209964412811</v>
      </c>
      <c r="AB95" s="18" t="n">
        <f aca="false">IF(V95=0,0,X95/V95)</f>
        <v>2.76847290640394</v>
      </c>
    </row>
    <row r="96" customFormat="false" ht="15" hidden="false" customHeight="false" outlineLevel="0" collapsed="false">
      <c r="A96" s="5" t="s">
        <v>314</v>
      </c>
      <c r="B96" s="5" t="s">
        <v>315</v>
      </c>
      <c r="C96" s="5" t="s">
        <v>304</v>
      </c>
      <c r="D96" s="5" t="s">
        <v>305</v>
      </c>
      <c r="E96" s="5" t="s">
        <v>143</v>
      </c>
      <c r="F96" s="6" t="n">
        <v>16.55</v>
      </c>
      <c r="G96" s="6" t="n">
        <v>5.12</v>
      </c>
      <c r="H96" s="7" t="n">
        <v>0.08</v>
      </c>
      <c r="I96" s="6" t="n">
        <v>50.14</v>
      </c>
      <c r="J96" s="6" t="n">
        <v>50.14</v>
      </c>
      <c r="K96" s="6" t="n">
        <v>44</v>
      </c>
      <c r="L96" s="8" t="b">
        <f aca="false">TRUE()</f>
        <v>1</v>
      </c>
      <c r="M96" s="9" t="n">
        <v>11</v>
      </c>
      <c r="N96" s="9" t="n">
        <v>85359</v>
      </c>
      <c r="O96" s="9" t="n">
        <v>1724</v>
      </c>
      <c r="P96" s="9" t="n">
        <v>1118</v>
      </c>
      <c r="Q96" s="9" t="n">
        <v>496</v>
      </c>
      <c r="R96" s="10" t="n">
        <f aca="false">IF(Q96=0,999,O96/(Q96/7))</f>
        <v>24.3306451612903</v>
      </c>
      <c r="S96" s="5" t="s">
        <v>33</v>
      </c>
      <c r="T96" s="9" t="n">
        <v>46937</v>
      </c>
      <c r="U96" s="9" t="n">
        <v>568</v>
      </c>
      <c r="V96" s="6" t="n">
        <v>937.2</v>
      </c>
      <c r="W96" s="9" t="n">
        <v>54</v>
      </c>
      <c r="X96" s="6" t="n">
        <v>2707.56</v>
      </c>
      <c r="Y96" s="6" t="n">
        <v>1.65</v>
      </c>
      <c r="Z96" s="7" t="n">
        <f aca="false">IF(T96=0,0,U96/T96)</f>
        <v>0.0121013273110766</v>
      </c>
      <c r="AA96" s="7" t="n">
        <f aca="false">IF(X96=0,0,V96/X96)</f>
        <v>0.346141913752604</v>
      </c>
      <c r="AB96" s="11" t="n">
        <f aca="false">IF(V96=0,0,X96/V96)</f>
        <v>2.88898847631242</v>
      </c>
    </row>
    <row r="97" customFormat="false" ht="15" hidden="false" customHeight="false" outlineLevel="0" collapsed="false">
      <c r="A97" s="12" t="s">
        <v>316</v>
      </c>
      <c r="B97" s="12" t="s">
        <v>317</v>
      </c>
      <c r="C97" s="12" t="s">
        <v>304</v>
      </c>
      <c r="D97" s="12" t="s">
        <v>318</v>
      </c>
      <c r="E97" s="12" t="s">
        <v>143</v>
      </c>
      <c r="F97" s="13" t="n">
        <v>14.97</v>
      </c>
      <c r="G97" s="13" t="n">
        <v>4.11</v>
      </c>
      <c r="H97" s="14" t="n">
        <v>0.12</v>
      </c>
      <c r="I97" s="13" t="n">
        <v>58.8</v>
      </c>
      <c r="J97" s="13" t="n">
        <v>58.26</v>
      </c>
      <c r="K97" s="13" t="n">
        <v>61.05</v>
      </c>
      <c r="L97" s="15" t="b">
        <f aca="false">FALSE()</f>
        <v>0</v>
      </c>
      <c r="M97" s="16" t="n">
        <v>3</v>
      </c>
      <c r="N97" s="16" t="n">
        <v>54486</v>
      </c>
      <c r="O97" s="16" t="n">
        <v>3139</v>
      </c>
      <c r="P97" s="16" t="n">
        <v>589</v>
      </c>
      <c r="Q97" s="16" t="n">
        <v>507</v>
      </c>
      <c r="R97" s="17" t="n">
        <f aca="false">IF(Q97=0,999,O97/(Q97/7))</f>
        <v>43.3392504930966</v>
      </c>
      <c r="S97" s="12" t="s">
        <v>33</v>
      </c>
      <c r="T97" s="16" t="n">
        <v>16474</v>
      </c>
      <c r="U97" s="16" t="n">
        <v>180</v>
      </c>
      <c r="V97" s="13" t="n">
        <v>208.8</v>
      </c>
      <c r="W97" s="16" t="n">
        <v>9</v>
      </c>
      <c r="X97" s="13" t="n">
        <v>529.2</v>
      </c>
      <c r="Y97" s="13" t="n">
        <v>1.16</v>
      </c>
      <c r="Z97" s="14" t="n">
        <f aca="false">IF(T97=0,0,U97/T97)</f>
        <v>0.010926308121889</v>
      </c>
      <c r="AA97" s="14" t="n">
        <f aca="false">IF(X97=0,0,V97/X97)</f>
        <v>0.394557823129252</v>
      </c>
      <c r="AB97" s="18" t="n">
        <f aca="false">IF(V97=0,0,X97/V97)</f>
        <v>2.53448275862069</v>
      </c>
    </row>
    <row r="98" customFormat="false" ht="15" hidden="false" customHeight="false" outlineLevel="0" collapsed="false">
      <c r="A98" s="5" t="s">
        <v>319</v>
      </c>
      <c r="B98" s="5" t="s">
        <v>320</v>
      </c>
      <c r="C98" s="5" t="s">
        <v>304</v>
      </c>
      <c r="D98" s="5" t="s">
        <v>321</v>
      </c>
      <c r="E98" s="5" t="s">
        <v>84</v>
      </c>
      <c r="F98" s="6" t="n">
        <v>29.57</v>
      </c>
      <c r="G98" s="6" t="n">
        <v>12.94</v>
      </c>
      <c r="H98" s="7" t="n">
        <v>0.12</v>
      </c>
      <c r="I98" s="6" t="n">
        <v>75.46</v>
      </c>
      <c r="J98" s="6" t="n">
        <v>75.46</v>
      </c>
      <c r="K98" s="6" t="n">
        <v>75.46</v>
      </c>
      <c r="L98" s="8" t="b">
        <f aca="false">TRUE()</f>
        <v>1</v>
      </c>
      <c r="M98" s="9" t="n">
        <v>0</v>
      </c>
      <c r="N98" s="9" t="n">
        <v>20867</v>
      </c>
      <c r="O98" s="9" t="n">
        <v>1995</v>
      </c>
      <c r="P98" s="9" t="n">
        <v>1151</v>
      </c>
      <c r="Q98" s="9" t="n">
        <v>361</v>
      </c>
      <c r="R98" s="10" t="n">
        <f aca="false">IF(Q98=0,999,O98/(Q98/7))</f>
        <v>38.6842105263158</v>
      </c>
      <c r="S98" s="5" t="s">
        <v>40</v>
      </c>
      <c r="T98" s="9" t="n">
        <v>91748</v>
      </c>
      <c r="U98" s="9" t="n">
        <v>670</v>
      </c>
      <c r="V98" s="6" t="n">
        <v>341.7</v>
      </c>
      <c r="W98" s="9" t="n">
        <v>12</v>
      </c>
      <c r="X98" s="6" t="n">
        <v>905.52</v>
      </c>
      <c r="Y98" s="6" t="n">
        <v>0.51</v>
      </c>
      <c r="Z98" s="7" t="n">
        <f aca="false">IF(T98=0,0,U98/T98)</f>
        <v>0.00730261150106814</v>
      </c>
      <c r="AA98" s="7" t="n">
        <f aca="false">IF(X98=0,0,V98/X98)</f>
        <v>0.377352239597138</v>
      </c>
      <c r="AB98" s="11" t="n">
        <f aca="false">IF(V98=0,0,X98/V98)</f>
        <v>2.65004389815628</v>
      </c>
    </row>
    <row r="99" customFormat="false" ht="15" hidden="false" customHeight="false" outlineLevel="0" collapsed="false">
      <c r="A99" s="12" t="s">
        <v>322</v>
      </c>
      <c r="B99" s="12" t="s">
        <v>323</v>
      </c>
      <c r="C99" s="12" t="s">
        <v>304</v>
      </c>
      <c r="D99" s="12" t="s">
        <v>324</v>
      </c>
      <c r="E99" s="12" t="s">
        <v>84</v>
      </c>
      <c r="F99" s="13" t="n">
        <v>10.01</v>
      </c>
      <c r="G99" s="13" t="n">
        <v>5.39</v>
      </c>
      <c r="H99" s="14" t="n">
        <v>0.1</v>
      </c>
      <c r="I99" s="13" t="n">
        <v>29.39</v>
      </c>
      <c r="J99" s="13" t="n">
        <v>29.39</v>
      </c>
      <c r="K99" s="13" t="n">
        <v>29.39</v>
      </c>
      <c r="L99" s="15" t="b">
        <f aca="false">TRUE()</f>
        <v>1</v>
      </c>
      <c r="M99" s="16" t="n">
        <v>0</v>
      </c>
      <c r="N99" s="16" t="n">
        <v>86734</v>
      </c>
      <c r="O99" s="16" t="n">
        <v>1207</v>
      </c>
      <c r="P99" s="16" t="n">
        <v>833</v>
      </c>
      <c r="Q99" s="16" t="n">
        <v>490</v>
      </c>
      <c r="R99" s="17" t="n">
        <f aca="false">IF(Q99=0,999,O99/(Q99/7))</f>
        <v>17.2428571428571</v>
      </c>
      <c r="S99" s="12" t="s">
        <v>33</v>
      </c>
      <c r="T99" s="16" t="n">
        <v>86075</v>
      </c>
      <c r="U99" s="16" t="n">
        <v>1308</v>
      </c>
      <c r="V99" s="13" t="n">
        <v>2184.36</v>
      </c>
      <c r="W99" s="16" t="n">
        <v>268</v>
      </c>
      <c r="X99" s="13" t="n">
        <v>7876.52</v>
      </c>
      <c r="Y99" s="13" t="n">
        <v>1.67</v>
      </c>
      <c r="Z99" s="14" t="n">
        <f aca="false">IF(T99=0,0,U99/T99)</f>
        <v>0.0151960499564333</v>
      </c>
      <c r="AA99" s="14" t="n">
        <f aca="false">IF(X99=0,0,V99/X99)</f>
        <v>0.277325519391813</v>
      </c>
      <c r="AB99" s="18" t="n">
        <f aca="false">IF(V99=0,0,X99/V99)</f>
        <v>3.60587082715303</v>
      </c>
    </row>
    <row r="100" customFormat="false" ht="15" hidden="false" customHeight="false" outlineLevel="0" collapsed="false">
      <c r="A100" s="5" t="s">
        <v>325</v>
      </c>
      <c r="B100" s="5" t="s">
        <v>326</v>
      </c>
      <c r="C100" s="5" t="s">
        <v>304</v>
      </c>
      <c r="D100" s="5" t="s">
        <v>324</v>
      </c>
      <c r="E100" s="5" t="s">
        <v>84</v>
      </c>
      <c r="F100" s="6" t="n">
        <v>19.14</v>
      </c>
      <c r="G100" s="6" t="n">
        <v>4.28</v>
      </c>
      <c r="H100" s="7" t="n">
        <v>0.08</v>
      </c>
      <c r="I100" s="6" t="n">
        <v>70.46</v>
      </c>
      <c r="J100" s="6" t="n">
        <v>70.46</v>
      </c>
      <c r="K100" s="6" t="n">
        <v>61.15</v>
      </c>
      <c r="L100" s="8" t="b">
        <f aca="false">TRUE()</f>
        <v>1</v>
      </c>
      <c r="M100" s="9" t="n">
        <v>12</v>
      </c>
      <c r="N100" s="9" t="n">
        <v>140436</v>
      </c>
      <c r="O100" s="9" t="n">
        <v>48</v>
      </c>
      <c r="P100" s="9" t="n">
        <v>813</v>
      </c>
      <c r="Q100" s="9" t="n">
        <v>45</v>
      </c>
      <c r="R100" s="10" t="n">
        <f aca="false">IF(Q100=0,999,O100/(Q100/7))</f>
        <v>7.46666666666667</v>
      </c>
      <c r="S100" s="5" t="s">
        <v>33</v>
      </c>
      <c r="T100" s="9" t="n">
        <v>103779</v>
      </c>
      <c r="U100" s="9" t="n">
        <v>1027</v>
      </c>
      <c r="V100" s="6" t="n">
        <v>1797.25</v>
      </c>
      <c r="W100" s="9" t="n">
        <v>58</v>
      </c>
      <c r="X100" s="6" t="n">
        <v>4086.68</v>
      </c>
      <c r="Y100" s="6" t="n">
        <v>1.75</v>
      </c>
      <c r="Z100" s="7" t="n">
        <f aca="false">IF(T100=0,0,U100/T100)</f>
        <v>0.00989602906175623</v>
      </c>
      <c r="AA100" s="7" t="n">
        <f aca="false">IF(X100=0,0,V100/X100)</f>
        <v>0.43978241506553</v>
      </c>
      <c r="AB100" s="11" t="n">
        <f aca="false">IF(V100=0,0,X100/V100)</f>
        <v>2.27385171790235</v>
      </c>
    </row>
    <row r="101" customFormat="false" ht="15" hidden="false" customHeight="false" outlineLevel="0" collapsed="false">
      <c r="A101" s="12" t="s">
        <v>327</v>
      </c>
      <c r="B101" s="12" t="s">
        <v>328</v>
      </c>
      <c r="C101" s="12" t="s">
        <v>304</v>
      </c>
      <c r="D101" s="12" t="s">
        <v>329</v>
      </c>
      <c r="E101" s="12" t="s">
        <v>84</v>
      </c>
      <c r="F101" s="13" t="n">
        <v>17.76</v>
      </c>
      <c r="G101" s="13" t="n">
        <v>5.56</v>
      </c>
      <c r="H101" s="14" t="n">
        <v>0.08</v>
      </c>
      <c r="I101" s="13" t="n">
        <v>80.13</v>
      </c>
      <c r="J101" s="13" t="n">
        <v>71.34</v>
      </c>
      <c r="K101" s="13" t="n">
        <v>72.67</v>
      </c>
      <c r="L101" s="15" t="b">
        <f aca="false">FALSE()</f>
        <v>0</v>
      </c>
      <c r="M101" s="16" t="n">
        <v>5</v>
      </c>
      <c r="N101" s="16" t="n">
        <v>129626</v>
      </c>
      <c r="O101" s="16" t="n">
        <v>280</v>
      </c>
      <c r="P101" s="16" t="n">
        <v>1497</v>
      </c>
      <c r="Q101" s="16" t="n">
        <v>144</v>
      </c>
      <c r="R101" s="17" t="n">
        <f aca="false">IF(Q101=0,999,O101/(Q101/7))</f>
        <v>13.6111111111111</v>
      </c>
      <c r="S101" s="12" t="s">
        <v>33</v>
      </c>
      <c r="T101" s="16" t="n">
        <v>60650</v>
      </c>
      <c r="U101" s="16" t="n">
        <v>716</v>
      </c>
      <c r="V101" s="13" t="n">
        <v>1023.88</v>
      </c>
      <c r="W101" s="16" t="n">
        <v>103</v>
      </c>
      <c r="X101" s="13" t="n">
        <v>8253.39</v>
      </c>
      <c r="Y101" s="13" t="n">
        <v>1.43</v>
      </c>
      <c r="Z101" s="14" t="n">
        <f aca="false">IF(T101=0,0,U101/T101)</f>
        <v>0.011805441055235</v>
      </c>
      <c r="AA101" s="14" t="n">
        <f aca="false">IF(X101=0,0,V101/X101)</f>
        <v>0.124055691055433</v>
      </c>
      <c r="AB101" s="18" t="n">
        <f aca="false">IF(V101=0,0,X101/V101)</f>
        <v>8.06089580810251</v>
      </c>
    </row>
  </sheetData>
  <conditionalFormatting sqref="R2:R101">
    <cfRule type="cellIs" priority="2" operator="lessThan" aboveAverage="0" equalAverage="0" bottom="0" percent="0" rank="0" text="" dxfId="0">
      <formula>10</formula>
    </cfRule>
  </conditionalFormatting>
  <conditionalFormatting sqref="L2:L101">
    <cfRule type="expression" priority="3" aboveAverage="0" equalAverage="0" bottom="0" percent="0" rank="0" text="" dxfId="1">
      <formula>L2=0</formula>
    </cfRule>
  </conditionalFormatting>
  <conditionalFormatting sqref="AA2:AA101">
    <cfRule type="cellIs" priority="4" operator="greaterThan" aboveAverage="0" equalAverage="0" bottom="0" percent="0" rank="0" text="" dxfId="0">
      <formula>0.35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2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</row>
    <row r="2" customFormat="false" ht="15" hidden="false" customHeight="false" outlineLevel="0" collapsed="false">
      <c r="A2" s="19" t="s">
        <v>30</v>
      </c>
      <c r="B2" s="19" t="n">
        <f aca="false">COUNTIF('Master SKU Data'!C:C,A2)</f>
        <v>10</v>
      </c>
      <c r="C2" s="20" t="n">
        <f aca="false">SUMIF('Master SKU Data'!C:C,A2,'Master SKU Data'!V:V)</f>
        <v>9608.51</v>
      </c>
      <c r="D2" s="20" t="n">
        <f aca="false">SUMIF('Master SKU Data'!C:C,A2,'Master SKU Data'!X:X)</f>
        <v>43575.63</v>
      </c>
      <c r="E2" s="21" t="n">
        <f aca="false">IF(D2=0,0,C2/D2)</f>
        <v>0.220501918159301</v>
      </c>
      <c r="F2" s="22" t="n">
        <f aca="false">AVERAGEIF('Master SKU Data'!C:C,A2,'Master SKU Data'!R:R)</f>
        <v>25.5015348745397</v>
      </c>
      <c r="G2" s="21" t="n">
        <f aca="false">AVERAGEIF('Master SKU Data'!C:C,A2,'Master SKU Data'!L:L)</f>
        <v>0.6</v>
      </c>
      <c r="H2" s="20" t="n">
        <f aca="false">AVERAGEIF('Master SKU Data'!C:C,A2,'Master SKU Data'!I:I)</f>
        <v>47.613</v>
      </c>
    </row>
    <row r="3" customFormat="false" ht="15" hidden="false" customHeight="false" outlineLevel="0" collapsed="false">
      <c r="A3" s="19" t="s">
        <v>65</v>
      </c>
      <c r="B3" s="19" t="n">
        <f aca="false">COUNTIF('Master SKU Data'!C:C,A3)</f>
        <v>10</v>
      </c>
      <c r="C3" s="20" t="n">
        <f aca="false">SUMIF('Master SKU Data'!C:C,A3,'Master SKU Data'!V:V)</f>
        <v>10373.18</v>
      </c>
      <c r="D3" s="20" t="n">
        <f aca="false">SUMIF('Master SKU Data'!C:C,A3,'Master SKU Data'!X:X)</f>
        <v>50602.12</v>
      </c>
      <c r="E3" s="21" t="n">
        <f aca="false">IF(D3=0,0,C3/D3)</f>
        <v>0.204994968590249</v>
      </c>
      <c r="F3" s="22" t="n">
        <f aca="false">AVERAGEIF('Master SKU Data'!C:C,A3,'Master SKU Data'!R:R)</f>
        <v>27.1982905974229</v>
      </c>
      <c r="G3" s="21" t="n">
        <f aca="false">AVERAGEIF('Master SKU Data'!C:C,A3,'Master SKU Data'!L:L)</f>
        <v>0.6</v>
      </c>
      <c r="H3" s="20" t="n">
        <f aca="false">AVERAGEIF('Master SKU Data'!C:C,A3,'Master SKU Data'!I:I)</f>
        <v>51.501</v>
      </c>
    </row>
    <row r="4" customFormat="false" ht="15" hidden="false" customHeight="false" outlineLevel="0" collapsed="false">
      <c r="A4" s="19" t="s">
        <v>95</v>
      </c>
      <c r="B4" s="19" t="n">
        <f aca="false">COUNTIF('Master SKU Data'!C:C,A4)</f>
        <v>10</v>
      </c>
      <c r="C4" s="20" t="n">
        <f aca="false">SUMIF('Master SKU Data'!C:C,A4,'Master SKU Data'!V:V)</f>
        <v>10076.03</v>
      </c>
      <c r="D4" s="20" t="n">
        <f aca="false">SUMIF('Master SKU Data'!C:C,A4,'Master SKU Data'!X:X)</f>
        <v>44114.55</v>
      </c>
      <c r="E4" s="21" t="n">
        <f aca="false">IF(D4=0,0,C4/D4)</f>
        <v>0.228406047437864</v>
      </c>
      <c r="F4" s="22" t="n">
        <f aca="false">AVERAGEIF('Master SKU Data'!C:C,A4,'Master SKU Data'!R:R)</f>
        <v>33.4915859875495</v>
      </c>
      <c r="G4" s="21" t="n">
        <f aca="false">AVERAGEIF('Master SKU Data'!C:C,A4,'Master SKU Data'!L:L)</f>
        <v>0.5</v>
      </c>
      <c r="H4" s="20" t="n">
        <f aca="false">AVERAGEIF('Master SKU Data'!C:C,A4,'Master SKU Data'!I:I)</f>
        <v>44.934</v>
      </c>
    </row>
    <row r="5" customFormat="false" ht="15" hidden="false" customHeight="false" outlineLevel="0" collapsed="false">
      <c r="A5" s="19" t="s">
        <v>125</v>
      </c>
      <c r="B5" s="19" t="n">
        <f aca="false">COUNTIF('Master SKU Data'!C:C,A5)</f>
        <v>10</v>
      </c>
      <c r="C5" s="20" t="n">
        <f aca="false">SUMIF('Master SKU Data'!C:C,A5,'Master SKU Data'!V:V)</f>
        <v>3640.47</v>
      </c>
      <c r="D5" s="20" t="n">
        <f aca="false">SUMIF('Master SKU Data'!C:C,A5,'Master SKU Data'!X:X)</f>
        <v>17754.8</v>
      </c>
      <c r="E5" s="21" t="n">
        <f aca="false">IF(D5=0,0,C5/D5)</f>
        <v>0.205041453578751</v>
      </c>
      <c r="F5" s="22" t="n">
        <f aca="false">AVERAGEIF('Master SKU Data'!C:C,A5,'Master SKU Data'!R:R)</f>
        <v>32.6268239225254</v>
      </c>
      <c r="G5" s="21" t="n">
        <f aca="false">AVERAGEIF('Master SKU Data'!C:C,A5,'Master SKU Data'!L:L)</f>
        <v>0.5</v>
      </c>
      <c r="H5" s="20" t="n">
        <f aca="false">AVERAGEIF('Master SKU Data'!C:C,A5,'Master SKU Data'!I:I)</f>
        <v>45.31</v>
      </c>
    </row>
    <row r="6" customFormat="false" ht="15" hidden="false" customHeight="false" outlineLevel="0" collapsed="false">
      <c r="A6" s="19" t="s">
        <v>153</v>
      </c>
      <c r="B6" s="19" t="n">
        <f aca="false">COUNTIF('Master SKU Data'!C:C,A6)</f>
        <v>10</v>
      </c>
      <c r="C6" s="20" t="n">
        <f aca="false">SUMIF('Master SKU Data'!C:C,A6,'Master SKU Data'!V:V)</f>
        <v>5102.28</v>
      </c>
      <c r="D6" s="20" t="n">
        <f aca="false">SUMIF('Master SKU Data'!C:C,A6,'Master SKU Data'!X:X)</f>
        <v>19599.33</v>
      </c>
      <c r="E6" s="21" t="n">
        <f aca="false">IF(D6=0,0,C6/D6)</f>
        <v>0.260329307175296</v>
      </c>
      <c r="F6" s="22" t="n">
        <f aca="false">AVERAGEIF('Master SKU Data'!C:C,A6,'Master SKU Data'!R:R)</f>
        <v>26.7502328810743</v>
      </c>
      <c r="G6" s="21" t="n">
        <f aca="false">AVERAGEIF('Master SKU Data'!C:C,A6,'Master SKU Data'!L:L)</f>
        <v>0.8</v>
      </c>
      <c r="H6" s="20" t="n">
        <f aca="false">AVERAGEIF('Master SKU Data'!C:C,A6,'Master SKU Data'!I:I)</f>
        <v>62.85</v>
      </c>
    </row>
    <row r="7" customFormat="false" ht="15" hidden="false" customHeight="false" outlineLevel="0" collapsed="false">
      <c r="A7" s="19" t="s">
        <v>184</v>
      </c>
      <c r="B7" s="19" t="n">
        <f aca="false">COUNTIF('Master SKU Data'!C:C,A7)</f>
        <v>10</v>
      </c>
      <c r="C7" s="20" t="n">
        <f aca="false">SUMIF('Master SKU Data'!C:C,A7,'Master SKU Data'!V:V)</f>
        <v>3685.38</v>
      </c>
      <c r="D7" s="20" t="n">
        <f aca="false">SUMIF('Master SKU Data'!C:C,A7,'Master SKU Data'!X:X)</f>
        <v>12689.21</v>
      </c>
      <c r="E7" s="21" t="n">
        <f aca="false">IF(D7=0,0,C7/D7)</f>
        <v>0.290434156263471</v>
      </c>
      <c r="F7" s="22" t="n">
        <f aca="false">AVERAGEIF('Master SKU Data'!C:C,A7,'Master SKU Data'!R:R)</f>
        <v>26.5429057258682</v>
      </c>
      <c r="G7" s="21" t="n">
        <f aca="false">AVERAGEIF('Master SKU Data'!C:C,A7,'Master SKU Data'!L:L)</f>
        <v>0.8</v>
      </c>
      <c r="H7" s="20" t="n">
        <f aca="false">AVERAGEIF('Master SKU Data'!C:C,A7,'Master SKU Data'!I:I)</f>
        <v>50.028</v>
      </c>
    </row>
    <row r="8" customFormat="false" ht="15" hidden="false" customHeight="false" outlineLevel="0" collapsed="false">
      <c r="A8" s="19" t="s">
        <v>215</v>
      </c>
      <c r="B8" s="19" t="n">
        <f aca="false">COUNTIF('Master SKU Data'!C:C,A8)</f>
        <v>10</v>
      </c>
      <c r="C8" s="20" t="n">
        <f aca="false">SUMIF('Master SKU Data'!C:C,A8,'Master SKU Data'!V:V)</f>
        <v>5131.17</v>
      </c>
      <c r="D8" s="20" t="n">
        <f aca="false">SUMIF('Master SKU Data'!C:C,A8,'Master SKU Data'!X:X)</f>
        <v>18802.05</v>
      </c>
      <c r="E8" s="21" t="n">
        <f aca="false">IF(D8=0,0,C8/D8)</f>
        <v>0.272904816230145</v>
      </c>
      <c r="F8" s="22" t="n">
        <f aca="false">AVERAGEIF('Master SKU Data'!C:C,A8,'Master SKU Data'!R:R)</f>
        <v>37.1663267384029</v>
      </c>
      <c r="G8" s="21" t="n">
        <f aca="false">AVERAGEIF('Master SKU Data'!C:C,A8,'Master SKU Data'!L:L)</f>
        <v>0.7</v>
      </c>
      <c r="H8" s="20" t="n">
        <f aca="false">AVERAGEIF('Master SKU Data'!C:C,A8,'Master SKU Data'!I:I)</f>
        <v>50.861</v>
      </c>
    </row>
    <row r="9" customFormat="false" ht="15" hidden="false" customHeight="false" outlineLevel="0" collapsed="false">
      <c r="A9" s="19" t="s">
        <v>245</v>
      </c>
      <c r="B9" s="19" t="n">
        <f aca="false">COUNTIF('Master SKU Data'!C:C,A9)</f>
        <v>10</v>
      </c>
      <c r="C9" s="20" t="n">
        <f aca="false">SUMIF('Master SKU Data'!C:C,A9,'Master SKU Data'!V:V)</f>
        <v>6567.44</v>
      </c>
      <c r="D9" s="20" t="n">
        <f aca="false">SUMIF('Master SKU Data'!C:C,A9,'Master SKU Data'!X:X)</f>
        <v>26983.31</v>
      </c>
      <c r="E9" s="21" t="n">
        <f aca="false">IF(D9=0,0,C9/D9)</f>
        <v>0.24338896895896</v>
      </c>
      <c r="F9" s="22" t="n">
        <f aca="false">AVERAGEIF('Master SKU Data'!C:C,A9,'Master SKU Data'!R:R)</f>
        <v>39.1381144580747</v>
      </c>
      <c r="G9" s="21" t="n">
        <f aca="false">AVERAGEIF('Master SKU Data'!C:C,A9,'Master SKU Data'!L:L)</f>
        <v>0.8</v>
      </c>
      <c r="H9" s="20" t="n">
        <f aca="false">AVERAGEIF('Master SKU Data'!C:C,A9,'Master SKU Data'!I:I)</f>
        <v>66.973</v>
      </c>
    </row>
    <row r="10" customFormat="false" ht="15" hidden="false" customHeight="false" outlineLevel="0" collapsed="false">
      <c r="A10" s="19" t="s">
        <v>275</v>
      </c>
      <c r="B10" s="19" t="n">
        <f aca="false">COUNTIF('Master SKU Data'!C:C,A10)</f>
        <v>10</v>
      </c>
      <c r="C10" s="20" t="n">
        <f aca="false">SUMIF('Master SKU Data'!C:C,A10,'Master SKU Data'!V:V)</f>
        <v>5287.45</v>
      </c>
      <c r="D10" s="20" t="n">
        <f aca="false">SUMIF('Master SKU Data'!C:C,A10,'Master SKU Data'!X:X)</f>
        <v>22502.51</v>
      </c>
      <c r="E10" s="21" t="n">
        <f aca="false">IF(D10=0,0,C10/D10)</f>
        <v>0.23497156539426</v>
      </c>
      <c r="F10" s="22" t="n">
        <f aca="false">AVERAGEIF('Master SKU Data'!C:C,A10,'Master SKU Data'!R:R)</f>
        <v>21.1427483480057</v>
      </c>
      <c r="G10" s="21" t="n">
        <f aca="false">AVERAGEIF('Master SKU Data'!C:C,A10,'Master SKU Data'!L:L)</f>
        <v>0.6</v>
      </c>
      <c r="H10" s="20" t="n">
        <f aca="false">AVERAGEIF('Master SKU Data'!C:C,A10,'Master SKU Data'!I:I)</f>
        <v>46.865</v>
      </c>
    </row>
    <row r="11" customFormat="false" ht="15" hidden="false" customHeight="false" outlineLevel="0" collapsed="false">
      <c r="A11" s="19" t="s">
        <v>304</v>
      </c>
      <c r="B11" s="19" t="n">
        <f aca="false">COUNTIF('Master SKU Data'!C:C,A11)</f>
        <v>10</v>
      </c>
      <c r="C11" s="20" t="n">
        <f aca="false">SUMIF('Master SKU Data'!C:C,A11,'Master SKU Data'!V:V)</f>
        <v>8741.44</v>
      </c>
      <c r="D11" s="20" t="n">
        <f aca="false">SUMIF('Master SKU Data'!C:C,A11,'Master SKU Data'!X:X)</f>
        <v>32691.49</v>
      </c>
      <c r="E11" s="21" t="n">
        <f aca="false">IF(D11=0,0,C11/D11)</f>
        <v>0.267391911472986</v>
      </c>
      <c r="F11" s="22" t="n">
        <f aca="false">AVERAGEIF('Master SKU Data'!C:C,A11,'Master SKU Data'!R:R)</f>
        <v>21.2364260573284</v>
      </c>
      <c r="G11" s="21" t="n">
        <f aca="false">AVERAGEIF('Master SKU Data'!C:C,A11,'Master SKU Data'!L:L)</f>
        <v>0.8</v>
      </c>
      <c r="H11" s="20" t="n">
        <f aca="false">AVERAGEIF('Master SKU Data'!C:C,A11,'Master SKU Data'!I:I)</f>
        <v>58.081</v>
      </c>
    </row>
    <row r="12" customFormat="false" ht="15" hidden="false" customHeight="false" outlineLevel="0" collapsed="false">
      <c r="A12" s="23" t="s">
        <v>337</v>
      </c>
      <c r="B12" s="23" t="n">
        <f aca="false">SUM(B2:B11)</f>
        <v>100</v>
      </c>
      <c r="C12" s="24" t="n">
        <f aca="false">SUM(C2:C11)</f>
        <v>68213.35</v>
      </c>
      <c r="D12" s="24" t="n">
        <f aca="false">SUM(D2:D11)</f>
        <v>289315</v>
      </c>
      <c r="E12" s="25" t="n">
        <f aca="false">IF(D12=0,0,C12/D12)</f>
        <v>0.235775365950608</v>
      </c>
      <c r="F12" s="26" t="n">
        <f aca="false">AVERAGE('Master SKU Data'!R2:R101)</f>
        <v>29.0794989590792</v>
      </c>
      <c r="G12" s="25" t="n">
        <f aca="false">AVERAGE('Master SKU Data'!L2:L101)</f>
        <v>0.67</v>
      </c>
      <c r="H12" s="24" t="n">
        <f aca="false">AVERAGE('Master SKU Data'!I2:I101)</f>
        <v>52.5016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2026-06-21T23:58:18Z</dcterms:created>
  <dc:creator>openpyxl</dc:creator>
  <dc:description/>
  <dc:language>en-US</dc:language>
  <cp:lastModifiedBy/>
  <dcterms:modified xsi:type="dcterms:W3CDTF">2026-06-21T23:58:18Z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